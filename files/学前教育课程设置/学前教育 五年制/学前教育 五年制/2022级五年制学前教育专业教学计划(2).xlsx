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24" activeTab="5"/>
  </bookViews>
  <sheets>
    <sheet name="第一学期" sheetId="1" r:id="rId1"/>
    <sheet name="第二学期" sheetId="2" r:id="rId2"/>
    <sheet name="第三学期" sheetId="3" r:id="rId3"/>
    <sheet name="第四学期" sheetId="4" r:id="rId4"/>
    <sheet name="第五学期" sheetId="5" r:id="rId5"/>
    <sheet name="第六学期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<sst xmlns="http://schemas.openxmlformats.org/spreadsheetml/2006/main" count="485" uniqueCount="75">
  <si>
    <t>学前教育专业聘课表</t>
  </si>
  <si>
    <t>班级</t>
  </si>
  <si>
    <t>课程</t>
  </si>
  <si>
    <t>任课教师</t>
  </si>
  <si>
    <t>开课学期</t>
  </si>
  <si>
    <t>周课时</t>
  </si>
  <si>
    <t>课型</t>
  </si>
  <si>
    <t>总课时</t>
  </si>
  <si>
    <t>学分</t>
  </si>
  <si>
    <t>考核方式</t>
  </si>
  <si>
    <t>排课要求</t>
  </si>
  <si>
    <t>班级所属学院</t>
  </si>
  <si>
    <t>教师所属学院</t>
  </si>
  <si>
    <t>2022级五年制专科学前教育班</t>
  </si>
  <si>
    <t>思想道德与法治</t>
  </si>
  <si>
    <t>2021/9</t>
  </si>
  <si>
    <t>思政课</t>
  </si>
  <si>
    <t>考试</t>
  </si>
  <si>
    <t>财经旅游学院</t>
  </si>
  <si>
    <t>马克思学院</t>
  </si>
  <si>
    <t>体育</t>
  </si>
  <si>
    <t>公共基础课</t>
  </si>
  <si>
    <t>考查</t>
  </si>
  <si>
    <t>基础部</t>
  </si>
  <si>
    <t>大学英语</t>
  </si>
  <si>
    <t>语文</t>
  </si>
  <si>
    <t>美术</t>
  </si>
  <si>
    <t>专业技能课</t>
  </si>
  <si>
    <t>手工</t>
  </si>
  <si>
    <t>钢琴及视唱练耳</t>
  </si>
  <si>
    <t>专业基础课</t>
  </si>
  <si>
    <t>舞蹈及幼儿舞蹈</t>
  </si>
  <si>
    <t>乐理</t>
  </si>
  <si>
    <t>葫芦丝演奏</t>
  </si>
  <si>
    <t>专业选修课</t>
  </si>
  <si>
    <t>2022级五年制专科学前教育班 汇总</t>
  </si>
  <si>
    <t>2023年春季学期教学计划</t>
  </si>
  <si>
    <t>2022级五年制专科学前教育1班</t>
  </si>
  <si>
    <t>思想道德修养与法律基础</t>
  </si>
  <si>
    <t>2023/3</t>
  </si>
  <si>
    <t>陇川职业高级中学</t>
  </si>
  <si>
    <t>民族团结教育/大学生心理健康</t>
  </si>
  <si>
    <t>普通话</t>
  </si>
  <si>
    <t>2022级五年制专科学前教育1班 汇总</t>
  </si>
  <si>
    <t>毛泽东思想和中国特色社会主义理论体系概论</t>
  </si>
  <si>
    <t>2023/9</t>
  </si>
  <si>
    <t>学前教育学</t>
  </si>
  <si>
    <t>专业核心课</t>
  </si>
  <si>
    <t>幼儿教师礼仪</t>
  </si>
  <si>
    <t>2024年春季学期教学计划</t>
  </si>
  <si>
    <t>哲学与人生</t>
  </si>
  <si>
    <t>2024/3</t>
  </si>
  <si>
    <t>2021级五年制专科学前教育1班</t>
  </si>
  <si>
    <t>中外教育史</t>
  </si>
  <si>
    <t>大学计算机办公应用</t>
  </si>
  <si>
    <t xml:space="preserve">公共基础课 </t>
  </si>
  <si>
    <t>2021级五年制专科学前教育1班 汇总</t>
  </si>
  <si>
    <t>2024/9</t>
  </si>
  <si>
    <t>声乐</t>
  </si>
  <si>
    <t>学前儿童健康教育</t>
  </si>
  <si>
    <t>学前儿童社会教育</t>
  </si>
  <si>
    <t>学前儿童艺术教育（美术）</t>
  </si>
  <si>
    <t>学前儿童艺术教育（音乐）</t>
  </si>
  <si>
    <t>形势与政策</t>
  </si>
  <si>
    <t>讲座</t>
  </si>
  <si>
    <t>建议开设选修课</t>
  </si>
  <si>
    <t>音乐欣赏</t>
  </si>
  <si>
    <t>2025/3</t>
  </si>
  <si>
    <t>幼儿英语</t>
  </si>
  <si>
    <t>学前儿童科学教育</t>
  </si>
  <si>
    <t>学前心理学</t>
  </si>
  <si>
    <t>学前儿童数学教育</t>
  </si>
  <si>
    <t>幼儿园班级管理</t>
  </si>
  <si>
    <t>2023级五年制专科学前教育班</t>
  </si>
  <si>
    <t>形式与政策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</si>
</sst>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6">
    <font>
      <sz val="11"/>
      <color theme="1"/>
      <name val="宋体"/>
      <charset val="134"/>
      <scheme val="minor"/>
    </font>
    <font>
      <sz val="20"/>
      <name val="微软雅黑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sz val="10.5"/>
      <color theme="1"/>
      <name val="宋体"/>
      <charset val="134"/>
    </font>
    <font>
      <sz val="10"/>
      <name val="宋体"/>
      <charset val="134"/>
      <scheme val="major"/>
    </font>
    <font>
      <b/>
      <sz val="10"/>
      <name val="宋体"/>
      <charset val="134"/>
      <scheme val="minor"/>
    </font>
    <font>
      <b/>
      <sz val="10"/>
      <name val="宋体"/>
      <charset val="134"/>
    </font>
    <font>
      <sz val="14"/>
      <color theme="1"/>
      <name val="宋体"/>
      <charset val="134"/>
      <scheme val="minor"/>
    </font>
    <font>
      <sz val="22"/>
      <name val="微软雅黑"/>
      <charset val="134"/>
    </font>
    <font>
      <sz val="14"/>
      <name val="微软雅黑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4"/>
      <name val="宋体"/>
      <charset val="134"/>
      <scheme val="major"/>
    </font>
    <font>
      <sz val="14"/>
      <color theme="1"/>
      <name val="宋体"/>
      <charset val="134"/>
    </font>
    <font>
      <b/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7" applyNumberFormat="0" applyAlignment="0" applyProtection="0">
      <alignment vertical="center"/>
    </xf>
    <xf numFmtId="0" fontId="25" fillId="4" borderId="8" applyNumberFormat="0" applyAlignment="0" applyProtection="0">
      <alignment vertical="center"/>
    </xf>
    <xf numFmtId="0" fontId="26" fillId="4" borderId="7" applyNumberFormat="0" applyAlignment="0" applyProtection="0">
      <alignment vertical="center"/>
    </xf>
    <xf numFmtId="0" fontId="27" fillId="5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5" fillId="0" borderId="0" applyBorder="0">
      <alignment vertical="center"/>
    </xf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49" fontId="2" fillId="0" borderId="1" xfId="49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left" vertical="center"/>
    </xf>
    <xf numFmtId="0" fontId="3" fillId="0" borderId="1" xfId="50" applyFont="1" applyFill="1" applyBorder="1" applyAlignment="1">
      <alignment horizontal="left" vertical="center"/>
    </xf>
    <xf numFmtId="49" fontId="2" fillId="0" borderId="1" xfId="49" applyNumberFormat="1" applyFont="1" applyFill="1" applyBorder="1" applyAlignment="1">
      <alignment horizontal="left" vertical="center" wrapText="1"/>
    </xf>
    <xf numFmtId="176" fontId="6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0" fillId="0" borderId="0" xfId="0" applyFill="1" applyAlignment="1"/>
    <xf numFmtId="0" fontId="3" fillId="0" borderId="2" xfId="0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8" fillId="0" borderId="0" xfId="0" applyFont="1" applyFill="1" applyAlignment="1"/>
    <xf numFmtId="0" fontId="9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49" fontId="11" fillId="0" borderId="1" xfId="49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49" fontId="11" fillId="0" borderId="1" xfId="49" applyNumberFormat="1" applyFont="1" applyFill="1" applyBorder="1" applyAlignment="1">
      <alignment horizontal="left" vertical="center"/>
    </xf>
    <xf numFmtId="176" fontId="12" fillId="0" borderId="1" xfId="0" applyNumberFormat="1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49" fontId="11" fillId="0" borderId="1" xfId="49" applyNumberFormat="1" applyFont="1" applyFill="1" applyBorder="1" applyAlignment="1">
      <alignment horizontal="left" vertical="center" wrapText="1"/>
    </xf>
    <xf numFmtId="0" fontId="14" fillId="0" borderId="0" xfId="0" applyFont="1" applyFill="1" applyAlignment="1">
      <alignment horizontal="justify"/>
    </xf>
    <xf numFmtId="0" fontId="15" fillId="0" borderId="1" xfId="0" applyFont="1" applyFill="1" applyBorder="1" applyAlignment="1">
      <alignment horizontal="left" vertical="center"/>
    </xf>
    <xf numFmtId="176" fontId="15" fillId="0" borderId="1" xfId="0" applyNumberFormat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8" fillId="0" borderId="1" xfId="0" applyFont="1" applyFill="1" applyBorder="1" applyAlignment="1"/>
    <xf numFmtId="0" fontId="8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10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$A1:$XFD13"/>
    </sheetView>
  </sheetViews>
  <sheetFormatPr defaultColWidth="9" defaultRowHeight="14.4"/>
  <cols>
    <col min="1" max="1" width="31.1851851851852" customWidth="1"/>
    <col min="2" max="2" width="22.8148148148148" customWidth="1"/>
  </cols>
  <sheetData>
    <row r="1" s="37" customFormat="1" ht="27.6" spans="1:12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="37" customFormat="1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3" t="s">
        <v>12</v>
      </c>
    </row>
    <row r="3" s="37" customFormat="1" spans="1:12">
      <c r="A3" s="3" t="s">
        <v>13</v>
      </c>
      <c r="B3" s="39" t="s">
        <v>14</v>
      </c>
      <c r="C3" s="5"/>
      <c r="D3" s="6" t="s">
        <v>15</v>
      </c>
      <c r="E3" s="8">
        <v>2</v>
      </c>
      <c r="F3" s="7" t="s">
        <v>16</v>
      </c>
      <c r="G3" s="3">
        <v>36</v>
      </c>
      <c r="H3" s="8">
        <v>2</v>
      </c>
      <c r="I3" s="3" t="s">
        <v>17</v>
      </c>
      <c r="J3" s="3"/>
      <c r="K3" s="3" t="s">
        <v>18</v>
      </c>
      <c r="L3" s="3" t="s">
        <v>19</v>
      </c>
    </row>
    <row r="4" s="37" customFormat="1" spans="1:12">
      <c r="A4" s="3" t="s">
        <v>13</v>
      </c>
      <c r="B4" s="4" t="s">
        <v>20</v>
      </c>
      <c r="C4" s="3"/>
      <c r="D4" s="6" t="s">
        <v>15</v>
      </c>
      <c r="E4" s="8">
        <v>2</v>
      </c>
      <c r="F4" s="7" t="s">
        <v>21</v>
      </c>
      <c r="G4" s="3">
        <v>36</v>
      </c>
      <c r="H4" s="8">
        <v>2</v>
      </c>
      <c r="I4" s="3" t="s">
        <v>22</v>
      </c>
      <c r="J4" s="3"/>
      <c r="K4" s="3" t="s">
        <v>18</v>
      </c>
      <c r="L4" s="3" t="s">
        <v>23</v>
      </c>
    </row>
    <row r="5" s="37" customFormat="1" spans="1:12">
      <c r="A5" s="3" t="s">
        <v>13</v>
      </c>
      <c r="B5" s="4" t="s">
        <v>24</v>
      </c>
      <c r="C5" s="3"/>
      <c r="D5" s="6" t="s">
        <v>15</v>
      </c>
      <c r="E5" s="8">
        <v>4</v>
      </c>
      <c r="F5" s="3" t="s">
        <v>21</v>
      </c>
      <c r="G5" s="7">
        <v>72</v>
      </c>
      <c r="H5" s="8">
        <v>4</v>
      </c>
      <c r="I5" s="3" t="s">
        <v>22</v>
      </c>
      <c r="J5" s="3"/>
      <c r="K5" s="3" t="s">
        <v>18</v>
      </c>
      <c r="L5" s="3" t="s">
        <v>23</v>
      </c>
    </row>
    <row r="6" s="37" customFormat="1" spans="1:12">
      <c r="A6" s="3" t="s">
        <v>13</v>
      </c>
      <c r="B6" s="4" t="s">
        <v>25</v>
      </c>
      <c r="C6" s="3"/>
      <c r="D6" s="6" t="s">
        <v>15</v>
      </c>
      <c r="E6" s="8">
        <v>4</v>
      </c>
      <c r="F6" s="3" t="s">
        <v>21</v>
      </c>
      <c r="G6" s="7">
        <f>H6*18</f>
        <v>72</v>
      </c>
      <c r="H6" s="8">
        <v>4</v>
      </c>
      <c r="I6" s="3" t="s">
        <v>22</v>
      </c>
      <c r="J6" s="3"/>
      <c r="K6" s="3" t="s">
        <v>18</v>
      </c>
      <c r="L6" s="3" t="s">
        <v>23</v>
      </c>
    </row>
    <row r="7" s="37" customFormat="1" spans="1:12">
      <c r="A7" s="3" t="s">
        <v>13</v>
      </c>
      <c r="B7" s="4" t="s">
        <v>26</v>
      </c>
      <c r="C7" s="10"/>
      <c r="D7" s="6" t="s">
        <v>15</v>
      </c>
      <c r="E7" s="8">
        <v>2</v>
      </c>
      <c r="F7" s="7" t="s">
        <v>27</v>
      </c>
      <c r="G7" s="3">
        <v>36</v>
      </c>
      <c r="H7" s="8">
        <v>2</v>
      </c>
      <c r="I7" s="3" t="s">
        <v>22</v>
      </c>
      <c r="J7" s="3"/>
      <c r="K7" s="3" t="s">
        <v>18</v>
      </c>
      <c r="L7" s="3" t="s">
        <v>18</v>
      </c>
    </row>
    <row r="8" s="37" customFormat="1" spans="1:12">
      <c r="A8" s="3" t="s">
        <v>13</v>
      </c>
      <c r="B8" s="4" t="s">
        <v>28</v>
      </c>
      <c r="C8" s="7"/>
      <c r="D8" s="6" t="s">
        <v>15</v>
      </c>
      <c r="E8" s="8">
        <v>2</v>
      </c>
      <c r="F8" s="3" t="s">
        <v>27</v>
      </c>
      <c r="G8" s="7">
        <f>H8*18</f>
        <v>36</v>
      </c>
      <c r="H8" s="8">
        <v>2</v>
      </c>
      <c r="I8" s="3" t="s">
        <v>22</v>
      </c>
      <c r="J8" s="3"/>
      <c r="K8" s="3" t="s">
        <v>18</v>
      </c>
      <c r="L8" s="3" t="s">
        <v>18</v>
      </c>
    </row>
    <row r="9" s="37" customFormat="1" spans="1:12">
      <c r="A9" s="3" t="s">
        <v>13</v>
      </c>
      <c r="B9" s="4" t="s">
        <v>29</v>
      </c>
      <c r="C9" s="7"/>
      <c r="D9" s="6" t="s">
        <v>15</v>
      </c>
      <c r="E9" s="8">
        <v>4</v>
      </c>
      <c r="F9" s="3" t="s">
        <v>30</v>
      </c>
      <c r="G9" s="7">
        <v>72</v>
      </c>
      <c r="H9" s="8">
        <v>4</v>
      </c>
      <c r="I9" s="3" t="s">
        <v>22</v>
      </c>
      <c r="J9" s="3"/>
      <c r="K9" s="3" t="s">
        <v>18</v>
      </c>
      <c r="L9" s="3" t="s">
        <v>18</v>
      </c>
    </row>
    <row r="10" s="37" customFormat="1" spans="1:12">
      <c r="A10" s="3" t="s">
        <v>13</v>
      </c>
      <c r="B10" s="4" t="s">
        <v>31</v>
      </c>
      <c r="C10" s="7"/>
      <c r="D10" s="6" t="s">
        <v>15</v>
      </c>
      <c r="E10" s="8">
        <v>4</v>
      </c>
      <c r="F10" s="3" t="s">
        <v>30</v>
      </c>
      <c r="G10" s="7">
        <v>72</v>
      </c>
      <c r="H10" s="8">
        <v>4</v>
      </c>
      <c r="I10" s="3" t="s">
        <v>22</v>
      </c>
      <c r="J10" s="3"/>
      <c r="K10" s="3" t="s">
        <v>18</v>
      </c>
      <c r="L10" s="3" t="s">
        <v>18</v>
      </c>
    </row>
    <row r="11" s="37" customFormat="1" spans="1:12">
      <c r="A11" s="3" t="s">
        <v>13</v>
      </c>
      <c r="B11" s="4" t="s">
        <v>32</v>
      </c>
      <c r="C11" s="7"/>
      <c r="D11" s="6" t="s">
        <v>15</v>
      </c>
      <c r="E11" s="8">
        <v>2</v>
      </c>
      <c r="F11" s="3" t="s">
        <v>30</v>
      </c>
      <c r="G11" s="7">
        <v>36</v>
      </c>
      <c r="H11" s="8">
        <v>2</v>
      </c>
      <c r="I11" s="3" t="s">
        <v>17</v>
      </c>
      <c r="J11" s="3"/>
      <c r="K11" s="3" t="s">
        <v>18</v>
      </c>
      <c r="L11" s="3" t="s">
        <v>18</v>
      </c>
    </row>
    <row r="12" s="37" customFormat="1" spans="1:12">
      <c r="A12" s="3" t="s">
        <v>13</v>
      </c>
      <c r="B12" s="4" t="s">
        <v>33</v>
      </c>
      <c r="C12" s="7"/>
      <c r="D12" s="6" t="s">
        <v>15</v>
      </c>
      <c r="E12" s="8">
        <v>2</v>
      </c>
      <c r="F12" s="3" t="s">
        <v>34</v>
      </c>
      <c r="G12" s="7">
        <v>36</v>
      </c>
      <c r="H12" s="8">
        <v>2</v>
      </c>
      <c r="I12" s="3" t="s">
        <v>22</v>
      </c>
      <c r="J12" s="3"/>
      <c r="K12" s="3" t="s">
        <v>18</v>
      </c>
      <c r="L12" s="3" t="s">
        <v>18</v>
      </c>
    </row>
    <row r="13" s="37" customFormat="1" spans="1:12">
      <c r="A13" s="12" t="s">
        <v>35</v>
      </c>
      <c r="B13" s="3"/>
      <c r="C13" s="3"/>
      <c r="D13" s="3"/>
      <c r="E13" s="11">
        <v>28</v>
      </c>
      <c r="F13" s="3"/>
      <c r="G13" s="3"/>
      <c r="H13" s="8"/>
      <c r="I13" s="3"/>
      <c r="J13" s="3"/>
      <c r="K13" s="3"/>
      <c r="L13" s="3"/>
    </row>
  </sheetData>
  <mergeCells count="1">
    <mergeCell ref="A1:L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A1" sqref="$A1:$XFD15"/>
    </sheetView>
  </sheetViews>
  <sheetFormatPr defaultColWidth="9" defaultRowHeight="14.4"/>
  <cols>
    <col min="1" max="1" width="30.3611111111111" customWidth="1"/>
    <col min="2" max="2" width="39.2685185185185" customWidth="1"/>
    <col min="3" max="3" width="19" customWidth="1"/>
  </cols>
  <sheetData>
    <row r="1" ht="27.6" spans="1:12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3"/>
    </row>
    <row r="2" ht="20" customHeight="1" spans="1:12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32" t="s">
        <v>11</v>
      </c>
      <c r="L2" s="34"/>
    </row>
    <row r="3" ht="20" customHeight="1" spans="1:12">
      <c r="A3" s="22" t="s">
        <v>37</v>
      </c>
      <c r="B3" s="34" t="s">
        <v>38</v>
      </c>
      <c r="C3" s="22"/>
      <c r="D3" s="25" t="s">
        <v>39</v>
      </c>
      <c r="E3" s="26">
        <v>2</v>
      </c>
      <c r="F3" s="27" t="s">
        <v>16</v>
      </c>
      <c r="G3" s="22">
        <v>36</v>
      </c>
      <c r="H3" s="26">
        <v>2</v>
      </c>
      <c r="I3" s="22" t="s">
        <v>17</v>
      </c>
      <c r="J3" s="22"/>
      <c r="K3" s="22" t="s">
        <v>40</v>
      </c>
      <c r="L3" s="34"/>
    </row>
    <row r="4" ht="20" customHeight="1" spans="1:12">
      <c r="A4" s="22" t="s">
        <v>37</v>
      </c>
      <c r="B4" s="35" t="s">
        <v>20</v>
      </c>
      <c r="C4" s="22"/>
      <c r="D4" s="25" t="s">
        <v>39</v>
      </c>
      <c r="E4" s="26">
        <v>2</v>
      </c>
      <c r="F4" s="27" t="s">
        <v>21</v>
      </c>
      <c r="G4" s="22">
        <v>36</v>
      </c>
      <c r="H4" s="26">
        <v>2</v>
      </c>
      <c r="I4" s="22" t="s">
        <v>22</v>
      </c>
      <c r="J4" s="22"/>
      <c r="K4" s="22" t="s">
        <v>40</v>
      </c>
      <c r="L4" s="34"/>
    </row>
    <row r="5" ht="20" customHeight="1" spans="1:12">
      <c r="A5" s="22" t="s">
        <v>37</v>
      </c>
      <c r="B5" s="35" t="s">
        <v>24</v>
      </c>
      <c r="C5" s="22"/>
      <c r="D5" s="25" t="s">
        <v>39</v>
      </c>
      <c r="E5" s="26">
        <v>4</v>
      </c>
      <c r="F5" s="22" t="s">
        <v>21</v>
      </c>
      <c r="G5" s="27">
        <v>72</v>
      </c>
      <c r="H5" s="26">
        <v>4</v>
      </c>
      <c r="I5" s="22" t="s">
        <v>17</v>
      </c>
      <c r="J5" s="22"/>
      <c r="K5" s="22" t="s">
        <v>40</v>
      </c>
      <c r="L5" s="34"/>
    </row>
    <row r="6" ht="20" customHeight="1" spans="1:12">
      <c r="A6" s="22" t="s">
        <v>37</v>
      </c>
      <c r="B6" s="35" t="s">
        <v>25</v>
      </c>
      <c r="C6" s="22"/>
      <c r="D6" s="25" t="s">
        <v>39</v>
      </c>
      <c r="E6" s="26">
        <v>4</v>
      </c>
      <c r="F6" s="22" t="s">
        <v>21</v>
      </c>
      <c r="G6" s="27">
        <f t="shared" ref="G6:G9" si="0">H6*18</f>
        <v>72</v>
      </c>
      <c r="H6" s="26">
        <v>4</v>
      </c>
      <c r="I6" s="22" t="s">
        <v>17</v>
      </c>
      <c r="J6" s="22"/>
      <c r="K6" s="22" t="s">
        <v>40</v>
      </c>
      <c r="L6" s="34"/>
    </row>
    <row r="7" ht="20" customHeight="1" spans="1:12">
      <c r="A7" s="22" t="s">
        <v>37</v>
      </c>
      <c r="B7" s="35" t="s">
        <v>26</v>
      </c>
      <c r="C7" s="22"/>
      <c r="D7" s="25" t="s">
        <v>39</v>
      </c>
      <c r="E7" s="26">
        <v>2</v>
      </c>
      <c r="F7" s="27" t="s">
        <v>30</v>
      </c>
      <c r="G7" s="22">
        <v>36</v>
      </c>
      <c r="H7" s="26">
        <v>2</v>
      </c>
      <c r="I7" s="22" t="s">
        <v>22</v>
      </c>
      <c r="J7" s="22"/>
      <c r="K7" s="22" t="s">
        <v>40</v>
      </c>
      <c r="L7" s="34"/>
    </row>
    <row r="8" ht="20" customHeight="1" spans="1:12">
      <c r="A8" s="22" t="s">
        <v>37</v>
      </c>
      <c r="B8" s="35" t="s">
        <v>28</v>
      </c>
      <c r="C8" s="22"/>
      <c r="D8" s="25" t="s">
        <v>39</v>
      </c>
      <c r="E8" s="26">
        <v>2</v>
      </c>
      <c r="F8" s="22" t="s">
        <v>30</v>
      </c>
      <c r="G8" s="27">
        <f t="shared" si="0"/>
        <v>36</v>
      </c>
      <c r="H8" s="26">
        <v>2</v>
      </c>
      <c r="I8" s="22" t="s">
        <v>22</v>
      </c>
      <c r="J8" s="22"/>
      <c r="K8" s="22" t="s">
        <v>40</v>
      </c>
      <c r="L8" s="34"/>
    </row>
    <row r="9" ht="20" customHeight="1" spans="1:12">
      <c r="A9" s="22" t="s">
        <v>37</v>
      </c>
      <c r="B9" s="35" t="s">
        <v>32</v>
      </c>
      <c r="C9" s="22"/>
      <c r="D9" s="25" t="s">
        <v>39</v>
      </c>
      <c r="E9" s="26">
        <v>2</v>
      </c>
      <c r="F9" s="22" t="s">
        <v>30</v>
      </c>
      <c r="G9" s="27">
        <f t="shared" si="0"/>
        <v>36</v>
      </c>
      <c r="H9" s="26">
        <v>2</v>
      </c>
      <c r="I9" s="22" t="s">
        <v>17</v>
      </c>
      <c r="J9" s="22"/>
      <c r="K9" s="22" t="s">
        <v>40</v>
      </c>
      <c r="L9" s="34"/>
    </row>
    <row r="10" ht="20" customHeight="1" spans="1:12">
      <c r="A10" s="22" t="s">
        <v>37</v>
      </c>
      <c r="B10" s="35" t="s">
        <v>29</v>
      </c>
      <c r="C10" s="22"/>
      <c r="D10" s="25" t="s">
        <v>39</v>
      </c>
      <c r="E10" s="26">
        <v>4</v>
      </c>
      <c r="F10" s="22" t="s">
        <v>30</v>
      </c>
      <c r="G10" s="22">
        <v>72</v>
      </c>
      <c r="H10" s="26">
        <v>4</v>
      </c>
      <c r="I10" s="22" t="s">
        <v>22</v>
      </c>
      <c r="J10" s="22"/>
      <c r="K10" s="22" t="s">
        <v>40</v>
      </c>
      <c r="L10" s="34"/>
    </row>
    <row r="11" ht="20" customHeight="1" spans="1:12">
      <c r="A11" s="22" t="s">
        <v>37</v>
      </c>
      <c r="B11" s="35" t="s">
        <v>31</v>
      </c>
      <c r="C11" s="22"/>
      <c r="D11" s="25" t="s">
        <v>39</v>
      </c>
      <c r="E11" s="26">
        <v>2</v>
      </c>
      <c r="F11" s="22" t="s">
        <v>30</v>
      </c>
      <c r="G11" s="27">
        <f t="shared" ref="G11:G14" si="1">H11*18</f>
        <v>36</v>
      </c>
      <c r="H11" s="26">
        <v>2</v>
      </c>
      <c r="I11" s="22" t="s">
        <v>22</v>
      </c>
      <c r="J11" s="22"/>
      <c r="K11" s="22" t="s">
        <v>40</v>
      </c>
      <c r="L11" s="34"/>
    </row>
    <row r="12" ht="17.4" spans="1:12">
      <c r="A12" s="22" t="s">
        <v>37</v>
      </c>
      <c r="B12" s="36" t="s">
        <v>41</v>
      </c>
      <c r="C12" s="22"/>
      <c r="D12" s="25" t="s">
        <v>39</v>
      </c>
      <c r="E12" s="26">
        <v>2</v>
      </c>
      <c r="F12" s="22" t="s">
        <v>21</v>
      </c>
      <c r="G12" s="27">
        <f t="shared" si="1"/>
        <v>36</v>
      </c>
      <c r="H12" s="26">
        <v>2</v>
      </c>
      <c r="I12" s="22" t="s">
        <v>22</v>
      </c>
      <c r="J12" s="22"/>
      <c r="K12" s="22" t="s">
        <v>40</v>
      </c>
      <c r="L12" s="34"/>
    </row>
    <row r="13" ht="17.4" spans="1:12">
      <c r="A13" s="22" t="s">
        <v>37</v>
      </c>
      <c r="B13" s="36" t="s">
        <v>33</v>
      </c>
      <c r="C13" s="22"/>
      <c r="D13" s="25" t="s">
        <v>39</v>
      </c>
      <c r="E13" s="26">
        <v>2</v>
      </c>
      <c r="F13" s="22" t="s">
        <v>34</v>
      </c>
      <c r="G13" s="27">
        <f t="shared" si="1"/>
        <v>36</v>
      </c>
      <c r="H13" s="26">
        <v>2</v>
      </c>
      <c r="I13" s="22" t="s">
        <v>22</v>
      </c>
      <c r="J13" s="22"/>
      <c r="K13" s="22" t="s">
        <v>40</v>
      </c>
      <c r="L13" s="34"/>
    </row>
    <row r="14" ht="17.4" spans="1:12">
      <c r="A14" s="22" t="s">
        <v>37</v>
      </c>
      <c r="B14" s="35" t="s">
        <v>42</v>
      </c>
      <c r="C14" s="22"/>
      <c r="D14" s="25" t="s">
        <v>39</v>
      </c>
      <c r="E14" s="26">
        <v>2</v>
      </c>
      <c r="F14" s="22" t="s">
        <v>21</v>
      </c>
      <c r="G14" s="27">
        <f t="shared" si="1"/>
        <v>36</v>
      </c>
      <c r="H14" s="26">
        <v>2</v>
      </c>
      <c r="I14" s="22" t="s">
        <v>22</v>
      </c>
      <c r="J14" s="22"/>
      <c r="K14" s="22" t="s">
        <v>40</v>
      </c>
      <c r="L14" s="34"/>
    </row>
    <row r="15" ht="17.4" spans="1:12">
      <c r="A15" s="30" t="s">
        <v>43</v>
      </c>
      <c r="B15" s="22"/>
      <c r="C15" s="22"/>
      <c r="D15" s="22"/>
      <c r="E15" s="31">
        <v>30</v>
      </c>
      <c r="F15" s="22"/>
      <c r="G15" s="22"/>
      <c r="H15" s="26"/>
      <c r="I15" s="22"/>
      <c r="J15" s="22"/>
      <c r="K15" s="22"/>
      <c r="L15" s="22"/>
    </row>
  </sheetData>
  <mergeCells count="1">
    <mergeCell ref="A1:K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opLeftCell="A4" workbookViewId="0">
      <selection activeCell="E14" sqref="E14"/>
    </sheetView>
  </sheetViews>
  <sheetFormatPr defaultColWidth="9" defaultRowHeight="27.5" customHeight="1"/>
  <cols>
    <col min="1" max="1" width="27.0925925925926" customWidth="1"/>
    <col min="2" max="2" width="20.8148148148148" customWidth="1"/>
    <col min="4" max="4" width="8.18518518518519" customWidth="1"/>
    <col min="6" max="6" width="19.6388888888889" customWidth="1"/>
  </cols>
  <sheetData>
    <row r="1" s="15" customFormat="1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="15" customFormat="1" customHeight="1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3"/>
    </row>
    <row r="3" s="16" customFormat="1" customHeight="1" outlineLevel="2" spans="1:13">
      <c r="A3" s="3" t="s">
        <v>37</v>
      </c>
      <c r="B3" s="4" t="s">
        <v>44</v>
      </c>
      <c r="C3" s="5"/>
      <c r="D3" s="6" t="s">
        <v>45</v>
      </c>
      <c r="E3" s="8">
        <v>4</v>
      </c>
      <c r="F3" s="7" t="s">
        <v>16</v>
      </c>
      <c r="G3" s="3">
        <v>72</v>
      </c>
      <c r="H3" s="8">
        <v>4</v>
      </c>
      <c r="I3" s="3" t="s">
        <v>17</v>
      </c>
      <c r="J3" s="3"/>
      <c r="K3" s="3" t="s">
        <v>40</v>
      </c>
      <c r="L3" s="3"/>
      <c r="M3" s="7"/>
    </row>
    <row r="4" s="16" customFormat="1" customHeight="1" outlineLevel="2" spans="1:13">
      <c r="A4" s="3" t="s">
        <v>37</v>
      </c>
      <c r="B4" s="4" t="s">
        <v>20</v>
      </c>
      <c r="C4" s="3"/>
      <c r="D4" s="6" t="s">
        <v>45</v>
      </c>
      <c r="E4" s="8">
        <v>2</v>
      </c>
      <c r="F4" s="7" t="s">
        <v>21</v>
      </c>
      <c r="G4" s="3">
        <v>36</v>
      </c>
      <c r="H4" s="8">
        <v>2</v>
      </c>
      <c r="I4" s="3" t="s">
        <v>22</v>
      </c>
      <c r="J4" s="3"/>
      <c r="K4" s="3" t="s">
        <v>40</v>
      </c>
      <c r="L4" s="3"/>
      <c r="M4" s="7"/>
    </row>
    <row r="5" s="16" customFormat="1" customHeight="1" outlineLevel="2" spans="1:13">
      <c r="A5" s="3" t="s">
        <v>37</v>
      </c>
      <c r="B5" s="4" t="s">
        <v>24</v>
      </c>
      <c r="C5" s="3"/>
      <c r="D5" s="6" t="s">
        <v>45</v>
      </c>
      <c r="E5" s="8">
        <v>4</v>
      </c>
      <c r="F5" s="3" t="s">
        <v>21</v>
      </c>
      <c r="G5" s="7">
        <v>72</v>
      </c>
      <c r="H5" s="8">
        <v>4</v>
      </c>
      <c r="I5" s="3" t="s">
        <v>17</v>
      </c>
      <c r="J5" s="3"/>
      <c r="K5" s="3" t="s">
        <v>40</v>
      </c>
      <c r="L5" s="3"/>
      <c r="M5" s="7"/>
    </row>
    <row r="6" s="16" customFormat="1" customHeight="1" outlineLevel="2" spans="1:13">
      <c r="A6" s="3" t="s">
        <v>37</v>
      </c>
      <c r="B6" s="4" t="s">
        <v>25</v>
      </c>
      <c r="C6" s="3"/>
      <c r="D6" s="6" t="s">
        <v>45</v>
      </c>
      <c r="E6" s="8">
        <v>4</v>
      </c>
      <c r="F6" s="3" t="s">
        <v>21</v>
      </c>
      <c r="G6" s="7">
        <f t="shared" ref="G6:G10" si="0">H6*18</f>
        <v>72</v>
      </c>
      <c r="H6" s="8">
        <v>4</v>
      </c>
      <c r="I6" s="3" t="s">
        <v>17</v>
      </c>
      <c r="J6" s="3"/>
      <c r="K6" s="3" t="s">
        <v>40</v>
      </c>
      <c r="L6" s="3"/>
      <c r="M6" s="7"/>
    </row>
    <row r="7" s="16" customFormat="1" customHeight="1" outlineLevel="2" spans="1:13">
      <c r="A7" s="3" t="s">
        <v>37</v>
      </c>
      <c r="B7" s="4" t="s">
        <v>26</v>
      </c>
      <c r="C7" s="10"/>
      <c r="D7" s="6" t="s">
        <v>45</v>
      </c>
      <c r="E7" s="8">
        <v>2</v>
      </c>
      <c r="F7" s="7" t="s">
        <v>30</v>
      </c>
      <c r="G7" s="3">
        <v>36</v>
      </c>
      <c r="H7" s="8">
        <v>2</v>
      </c>
      <c r="I7" s="3" t="s">
        <v>22</v>
      </c>
      <c r="J7" s="3"/>
      <c r="K7" s="3" t="s">
        <v>40</v>
      </c>
      <c r="L7" s="3"/>
      <c r="M7" s="7"/>
    </row>
    <row r="8" s="16" customFormat="1" customHeight="1" outlineLevel="2" spans="1:13">
      <c r="A8" s="3" t="s">
        <v>37</v>
      </c>
      <c r="B8" s="4" t="s">
        <v>28</v>
      </c>
      <c r="C8" s="7"/>
      <c r="D8" s="6" t="s">
        <v>45</v>
      </c>
      <c r="E8" s="8">
        <v>2</v>
      </c>
      <c r="F8" s="3" t="s">
        <v>30</v>
      </c>
      <c r="G8" s="7">
        <f t="shared" si="0"/>
        <v>36</v>
      </c>
      <c r="H8" s="8">
        <v>2</v>
      </c>
      <c r="I8" s="3" t="s">
        <v>22</v>
      </c>
      <c r="J8" s="3"/>
      <c r="K8" s="3" t="s">
        <v>40</v>
      </c>
      <c r="L8" s="3"/>
      <c r="M8" s="7"/>
    </row>
    <row r="9" s="33" customFormat="1" customHeight="1" outlineLevel="2" spans="1:13">
      <c r="A9" s="3" t="s">
        <v>37</v>
      </c>
      <c r="B9" s="4" t="s">
        <v>29</v>
      </c>
      <c r="C9" s="7"/>
      <c r="D9" s="6" t="s">
        <v>45</v>
      </c>
      <c r="E9" s="8">
        <v>2</v>
      </c>
      <c r="F9" s="3" t="s">
        <v>30</v>
      </c>
      <c r="G9" s="7">
        <f t="shared" si="0"/>
        <v>36</v>
      </c>
      <c r="H9" s="8">
        <v>2</v>
      </c>
      <c r="I9" s="3" t="s">
        <v>22</v>
      </c>
      <c r="J9" s="3"/>
      <c r="K9" s="3" t="s">
        <v>40</v>
      </c>
      <c r="L9" s="3"/>
      <c r="M9" s="7"/>
    </row>
    <row r="10" s="16" customFormat="1" customHeight="1" outlineLevel="1" spans="1:13">
      <c r="A10" s="3" t="s">
        <v>37</v>
      </c>
      <c r="B10" s="4" t="s">
        <v>31</v>
      </c>
      <c r="C10" s="7"/>
      <c r="D10" s="6" t="s">
        <v>45</v>
      </c>
      <c r="E10" s="8">
        <v>4</v>
      </c>
      <c r="F10" s="3" t="s">
        <v>30</v>
      </c>
      <c r="G10" s="7">
        <f t="shared" si="0"/>
        <v>36</v>
      </c>
      <c r="H10" s="8">
        <v>2</v>
      </c>
      <c r="I10" s="3" t="s">
        <v>22</v>
      </c>
      <c r="J10" s="3"/>
      <c r="K10" s="3" t="s">
        <v>40</v>
      </c>
      <c r="L10" s="3"/>
      <c r="M10" s="7"/>
    </row>
    <row r="11" s="16" customFormat="1" customHeight="1" outlineLevel="2" spans="1:13">
      <c r="A11" s="3" t="s">
        <v>37</v>
      </c>
      <c r="B11" s="4" t="s">
        <v>46</v>
      </c>
      <c r="C11" s="7"/>
      <c r="D11" s="6" t="s">
        <v>45</v>
      </c>
      <c r="E11" s="8">
        <v>4</v>
      </c>
      <c r="F11" s="3" t="s">
        <v>47</v>
      </c>
      <c r="G11" s="7">
        <v>72</v>
      </c>
      <c r="H11" s="8">
        <v>4</v>
      </c>
      <c r="I11" s="3" t="s">
        <v>17</v>
      </c>
      <c r="J11" s="3"/>
      <c r="K11" s="3" t="s">
        <v>40</v>
      </c>
      <c r="L11" s="3"/>
      <c r="M11" s="7"/>
    </row>
    <row r="12" s="16" customFormat="1" customHeight="1" outlineLevel="2" spans="1:13">
      <c r="A12" s="3" t="s">
        <v>37</v>
      </c>
      <c r="B12" s="4" t="s">
        <v>48</v>
      </c>
      <c r="C12" s="7"/>
      <c r="D12" s="6" t="s">
        <v>45</v>
      </c>
      <c r="E12" s="8">
        <v>2</v>
      </c>
      <c r="F12" s="3" t="s">
        <v>47</v>
      </c>
      <c r="G12" s="7">
        <v>36</v>
      </c>
      <c r="H12" s="8">
        <v>2</v>
      </c>
      <c r="I12" s="3" t="s">
        <v>22</v>
      </c>
      <c r="J12" s="3"/>
      <c r="K12" s="3" t="s">
        <v>40</v>
      </c>
      <c r="L12" s="3"/>
      <c r="M12" s="7"/>
    </row>
    <row r="13" s="16" customFormat="1" customHeight="1" outlineLevel="2" spans="1:13">
      <c r="A13" s="12" t="s">
        <v>43</v>
      </c>
      <c r="B13" s="3"/>
      <c r="C13" s="3"/>
      <c r="D13" s="3"/>
      <c r="E13" s="11">
        <v>30</v>
      </c>
      <c r="F13" s="3"/>
      <c r="G13" s="3"/>
      <c r="H13" s="8"/>
      <c r="I13" s="3"/>
      <c r="J13" s="3"/>
      <c r="K13" s="3"/>
      <c r="L13" s="3"/>
      <c r="M13" s="17"/>
    </row>
  </sheetData>
  <mergeCells count="1">
    <mergeCell ref="A1:L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B8" sqref="B8"/>
    </sheetView>
  </sheetViews>
  <sheetFormatPr defaultColWidth="8.73148148148148" defaultRowHeight="14.4"/>
  <cols>
    <col min="1" max="1" width="35.1851851851852" customWidth="1"/>
    <col min="2" max="2" width="23.2685185185185" customWidth="1"/>
    <col min="6" max="6" width="19.4444444444444" customWidth="1"/>
  </cols>
  <sheetData>
    <row r="1" s="18" customFormat="1" ht="44" customHeight="1" spans="1:11">
      <c r="A1" s="19" t="s">
        <v>49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="18" customFormat="1" ht="30" customHeight="1" spans="1:11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32" t="s">
        <v>11</v>
      </c>
    </row>
    <row r="3" s="18" customFormat="1" ht="30" customHeight="1" spans="1:11">
      <c r="A3" s="22" t="s">
        <v>37</v>
      </c>
      <c r="B3" s="23" t="s">
        <v>50</v>
      </c>
      <c r="C3" s="24"/>
      <c r="D3" s="25" t="s">
        <v>51</v>
      </c>
      <c r="E3" s="26">
        <v>2</v>
      </c>
      <c r="F3" s="27" t="s">
        <v>16</v>
      </c>
      <c r="G3" s="22">
        <v>36</v>
      </c>
      <c r="H3" s="26">
        <v>2</v>
      </c>
      <c r="I3" s="22" t="s">
        <v>17</v>
      </c>
      <c r="J3" s="22"/>
      <c r="K3" s="22" t="s">
        <v>40</v>
      </c>
    </row>
    <row r="4" s="18" customFormat="1" ht="30" customHeight="1" spans="1:11">
      <c r="A4" s="22" t="s">
        <v>52</v>
      </c>
      <c r="B4" s="23" t="s">
        <v>20</v>
      </c>
      <c r="C4" s="22"/>
      <c r="D4" s="25" t="s">
        <v>51</v>
      </c>
      <c r="E4" s="26">
        <v>2</v>
      </c>
      <c r="F4" s="27" t="s">
        <v>21</v>
      </c>
      <c r="G4" s="22">
        <v>36</v>
      </c>
      <c r="H4" s="26">
        <v>2</v>
      </c>
      <c r="I4" s="22" t="s">
        <v>22</v>
      </c>
      <c r="J4" s="22"/>
      <c r="K4" s="22" t="s">
        <v>40</v>
      </c>
    </row>
    <row r="5" s="18" customFormat="1" ht="30" customHeight="1" spans="1:11">
      <c r="A5" s="22" t="s">
        <v>52</v>
      </c>
      <c r="B5" s="23" t="s">
        <v>24</v>
      </c>
      <c r="C5" s="22"/>
      <c r="D5" s="25" t="s">
        <v>51</v>
      </c>
      <c r="E5" s="26">
        <v>4</v>
      </c>
      <c r="F5" s="22" t="s">
        <v>21</v>
      </c>
      <c r="G5" s="27">
        <v>72</v>
      </c>
      <c r="H5" s="26">
        <v>4</v>
      </c>
      <c r="I5" s="22" t="s">
        <v>17</v>
      </c>
      <c r="J5" s="22"/>
      <c r="K5" s="22" t="s">
        <v>40</v>
      </c>
    </row>
    <row r="6" s="18" customFormat="1" ht="30" customHeight="1" spans="1:11">
      <c r="A6" s="22" t="s">
        <v>52</v>
      </c>
      <c r="B6" s="23" t="s">
        <v>25</v>
      </c>
      <c r="C6" s="22"/>
      <c r="D6" s="25" t="s">
        <v>51</v>
      </c>
      <c r="E6" s="26">
        <v>4</v>
      </c>
      <c r="F6" s="22" t="s">
        <v>21</v>
      </c>
      <c r="G6" s="27">
        <f t="shared" ref="G6:G10" si="0">H6*18</f>
        <v>72</v>
      </c>
      <c r="H6" s="26">
        <v>4</v>
      </c>
      <c r="I6" s="22" t="s">
        <v>17</v>
      </c>
      <c r="J6" s="22"/>
      <c r="K6" s="22" t="s">
        <v>40</v>
      </c>
    </row>
    <row r="7" s="18" customFormat="1" ht="30" customHeight="1" spans="1:11">
      <c r="A7" s="22" t="s">
        <v>52</v>
      </c>
      <c r="B7" s="23" t="s">
        <v>26</v>
      </c>
      <c r="C7" s="28"/>
      <c r="D7" s="25" t="s">
        <v>51</v>
      </c>
      <c r="E7" s="26">
        <v>2</v>
      </c>
      <c r="F7" s="27" t="s">
        <v>30</v>
      </c>
      <c r="G7" s="22">
        <v>36</v>
      </c>
      <c r="H7" s="26">
        <v>2</v>
      </c>
      <c r="I7" s="22" t="s">
        <v>22</v>
      </c>
      <c r="J7" s="22"/>
      <c r="K7" s="22" t="s">
        <v>40</v>
      </c>
    </row>
    <row r="8" s="18" customFormat="1" ht="30" customHeight="1" spans="1:11">
      <c r="A8" s="22" t="s">
        <v>52</v>
      </c>
      <c r="B8" s="23" t="s">
        <v>28</v>
      </c>
      <c r="C8" s="27"/>
      <c r="D8" s="25" t="s">
        <v>51</v>
      </c>
      <c r="E8" s="26">
        <v>2</v>
      </c>
      <c r="F8" s="22" t="s">
        <v>30</v>
      </c>
      <c r="G8" s="27">
        <f t="shared" si="0"/>
        <v>36</v>
      </c>
      <c r="H8" s="26">
        <v>2</v>
      </c>
      <c r="I8" s="22" t="s">
        <v>22</v>
      </c>
      <c r="J8" s="22"/>
      <c r="K8" s="22" t="s">
        <v>40</v>
      </c>
    </row>
    <row r="9" s="18" customFormat="1" ht="30" customHeight="1" spans="1:11">
      <c r="A9" s="22" t="s">
        <v>52</v>
      </c>
      <c r="B9" s="23" t="s">
        <v>29</v>
      </c>
      <c r="C9" s="27"/>
      <c r="D9" s="25" t="s">
        <v>51</v>
      </c>
      <c r="E9" s="26">
        <v>4</v>
      </c>
      <c r="F9" s="22" t="s">
        <v>30</v>
      </c>
      <c r="G9" s="27">
        <v>72</v>
      </c>
      <c r="H9" s="26">
        <v>4</v>
      </c>
      <c r="I9" s="22" t="s">
        <v>22</v>
      </c>
      <c r="J9" s="22"/>
      <c r="K9" s="22" t="s">
        <v>40</v>
      </c>
    </row>
    <row r="10" s="18" customFormat="1" ht="30" customHeight="1" spans="1:11">
      <c r="A10" s="22" t="s">
        <v>52</v>
      </c>
      <c r="B10" s="23" t="s">
        <v>31</v>
      </c>
      <c r="C10" s="27"/>
      <c r="D10" s="25" t="s">
        <v>51</v>
      </c>
      <c r="E10" s="26">
        <v>2</v>
      </c>
      <c r="F10" s="22" t="s">
        <v>30</v>
      </c>
      <c r="G10" s="27">
        <f t="shared" si="0"/>
        <v>36</v>
      </c>
      <c r="H10" s="26">
        <v>2</v>
      </c>
      <c r="I10" s="22" t="s">
        <v>22</v>
      </c>
      <c r="J10" s="22"/>
      <c r="K10" s="22" t="s">
        <v>40</v>
      </c>
    </row>
    <row r="11" s="18" customFormat="1" ht="30" customHeight="1" spans="1:11">
      <c r="A11" s="22" t="s">
        <v>52</v>
      </c>
      <c r="B11" s="23" t="s">
        <v>53</v>
      </c>
      <c r="C11" s="27"/>
      <c r="D11" s="25" t="s">
        <v>51</v>
      </c>
      <c r="E11" s="26">
        <v>4</v>
      </c>
      <c r="F11" s="22" t="s">
        <v>30</v>
      </c>
      <c r="G11" s="27">
        <v>74</v>
      </c>
      <c r="H11" s="26">
        <v>4</v>
      </c>
      <c r="I11" s="22" t="s">
        <v>17</v>
      </c>
      <c r="J11" s="22"/>
      <c r="K11" s="22" t="s">
        <v>40</v>
      </c>
    </row>
    <row r="12" s="18" customFormat="1" ht="30" customHeight="1" spans="1:11">
      <c r="A12" s="22" t="s">
        <v>52</v>
      </c>
      <c r="B12" s="29" t="s">
        <v>54</v>
      </c>
      <c r="C12" s="27"/>
      <c r="D12" s="25" t="s">
        <v>51</v>
      </c>
      <c r="E12" s="26">
        <v>4</v>
      </c>
      <c r="F12" s="22" t="s">
        <v>55</v>
      </c>
      <c r="G12" s="27">
        <f>H12*18</f>
        <v>72</v>
      </c>
      <c r="H12" s="26">
        <v>4</v>
      </c>
      <c r="I12" s="22" t="s">
        <v>22</v>
      </c>
      <c r="J12" s="22"/>
      <c r="K12" s="22" t="s">
        <v>40</v>
      </c>
    </row>
    <row r="13" s="18" customFormat="1" ht="30" customHeight="1" spans="1:11">
      <c r="A13" s="30" t="s">
        <v>56</v>
      </c>
      <c r="B13" s="22"/>
      <c r="C13" s="22"/>
      <c r="D13" s="22"/>
      <c r="E13" s="31">
        <v>30</v>
      </c>
      <c r="F13" s="22"/>
      <c r="G13" s="22"/>
      <c r="H13" s="26"/>
      <c r="I13" s="22"/>
      <c r="J13" s="22"/>
      <c r="K13" s="22"/>
    </row>
  </sheetData>
  <mergeCells count="1">
    <mergeCell ref="A1:K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selection activeCell="A1" sqref="A1:L15"/>
    </sheetView>
  </sheetViews>
  <sheetFormatPr defaultColWidth="8.73148148148148" defaultRowHeight="14.4"/>
  <cols>
    <col min="1" max="1" width="25.4537037037037" customWidth="1"/>
    <col min="2" max="2" width="21" customWidth="1"/>
    <col min="6" max="6" width="15.8148148148148" customWidth="1"/>
  </cols>
  <sheetData>
    <row r="1" s="15" customFormat="1" ht="27.5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="15" customFormat="1" ht="27.5" customHeight="1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3"/>
    </row>
    <row r="3" s="16" customFormat="1" ht="27.5" customHeight="1" outlineLevel="2" spans="1:13">
      <c r="A3" s="3" t="s">
        <v>13</v>
      </c>
      <c r="B3" s="4" t="s">
        <v>26</v>
      </c>
      <c r="C3" s="5"/>
      <c r="D3" s="6" t="s">
        <v>57</v>
      </c>
      <c r="E3" s="7">
        <v>2</v>
      </c>
      <c r="F3" s="3" t="s">
        <v>30</v>
      </c>
      <c r="G3" s="7">
        <f>H3*18</f>
        <v>36</v>
      </c>
      <c r="H3" s="7">
        <v>2</v>
      </c>
      <c r="I3" s="3" t="s">
        <v>22</v>
      </c>
      <c r="J3" s="3"/>
      <c r="K3" s="3" t="s">
        <v>40</v>
      </c>
      <c r="L3" s="3"/>
      <c r="M3" s="7"/>
    </row>
    <row r="4" s="16" customFormat="1" ht="27.5" customHeight="1" outlineLevel="2" spans="1:13">
      <c r="A4" s="3" t="s">
        <v>13</v>
      </c>
      <c r="B4" s="4" t="s">
        <v>28</v>
      </c>
      <c r="C4" s="7"/>
      <c r="D4" s="6" t="s">
        <v>57</v>
      </c>
      <c r="E4" s="8">
        <v>2</v>
      </c>
      <c r="F4" s="3" t="s">
        <v>30</v>
      </c>
      <c r="G4" s="7">
        <v>36</v>
      </c>
      <c r="H4" s="8">
        <v>2</v>
      </c>
      <c r="I4" s="3" t="s">
        <v>22</v>
      </c>
      <c r="J4" s="3"/>
      <c r="K4" s="3" t="s">
        <v>40</v>
      </c>
      <c r="L4" s="3"/>
      <c r="M4" s="17"/>
    </row>
    <row r="5" s="16" customFormat="1" ht="27.5" customHeight="1" outlineLevel="2" spans="1:13">
      <c r="A5" s="3" t="s">
        <v>13</v>
      </c>
      <c r="B5" s="4" t="s">
        <v>58</v>
      </c>
      <c r="C5" s="9"/>
      <c r="D5" s="6" t="s">
        <v>57</v>
      </c>
      <c r="E5" s="8">
        <v>2</v>
      </c>
      <c r="F5" s="3" t="s">
        <v>30</v>
      </c>
      <c r="G5" s="7">
        <f>H5*18</f>
        <v>36</v>
      </c>
      <c r="H5" s="8">
        <v>2</v>
      </c>
      <c r="I5" s="3" t="s">
        <v>22</v>
      </c>
      <c r="J5" s="3"/>
      <c r="K5" s="3" t="s">
        <v>40</v>
      </c>
      <c r="L5" s="3"/>
      <c r="M5" s="7"/>
    </row>
    <row r="6" s="16" customFormat="1" ht="27.5" customHeight="1" outlineLevel="2" spans="1:13">
      <c r="A6" s="3" t="s">
        <v>13</v>
      </c>
      <c r="B6" s="4" t="s">
        <v>29</v>
      </c>
      <c r="C6" s="10"/>
      <c r="D6" s="6" t="s">
        <v>57</v>
      </c>
      <c r="E6" s="8">
        <v>4</v>
      </c>
      <c r="F6" s="3" t="s">
        <v>30</v>
      </c>
      <c r="G6" s="7">
        <v>72</v>
      </c>
      <c r="H6" s="8">
        <v>4</v>
      </c>
      <c r="I6" s="3" t="s">
        <v>22</v>
      </c>
      <c r="J6" s="3"/>
      <c r="K6" s="3" t="s">
        <v>40</v>
      </c>
      <c r="L6" s="3"/>
      <c r="M6" s="7"/>
    </row>
    <row r="7" s="16" customFormat="1" ht="27.5" customHeight="1" outlineLevel="2" spans="1:13">
      <c r="A7" s="3" t="s">
        <v>13</v>
      </c>
      <c r="B7" s="4" t="s">
        <v>31</v>
      </c>
      <c r="C7" s="5"/>
      <c r="D7" s="6" t="s">
        <v>57</v>
      </c>
      <c r="E7" s="8">
        <v>4</v>
      </c>
      <c r="F7" s="7" t="s">
        <v>30</v>
      </c>
      <c r="G7" s="3">
        <v>36</v>
      </c>
      <c r="H7" s="8">
        <v>2</v>
      </c>
      <c r="I7" s="3" t="s">
        <v>22</v>
      </c>
      <c r="J7" s="3"/>
      <c r="K7" s="3" t="s">
        <v>40</v>
      </c>
      <c r="L7" s="3"/>
      <c r="M7" s="7"/>
    </row>
    <row r="8" s="16" customFormat="1" ht="27.5" customHeight="1" outlineLevel="1" spans="1:13">
      <c r="A8" s="3" t="s">
        <v>13</v>
      </c>
      <c r="B8" s="4" t="s">
        <v>59</v>
      </c>
      <c r="C8" s="7"/>
      <c r="D8" s="6" t="s">
        <v>57</v>
      </c>
      <c r="E8" s="8">
        <v>4</v>
      </c>
      <c r="F8" s="7" t="s">
        <v>47</v>
      </c>
      <c r="G8" s="3">
        <v>72</v>
      </c>
      <c r="H8" s="8">
        <v>4</v>
      </c>
      <c r="I8" s="3" t="s">
        <v>17</v>
      </c>
      <c r="J8" s="3"/>
      <c r="K8" s="3" t="s">
        <v>40</v>
      </c>
      <c r="L8" s="3"/>
      <c r="M8" s="7"/>
    </row>
    <row r="9" s="16" customFormat="1" ht="27.5" customHeight="1" outlineLevel="2" spans="1:13">
      <c r="A9" s="3" t="s">
        <v>13</v>
      </c>
      <c r="B9" s="4" t="s">
        <v>60</v>
      </c>
      <c r="C9" s="7"/>
      <c r="D9" s="6" t="s">
        <v>57</v>
      </c>
      <c r="E9" s="8">
        <v>4</v>
      </c>
      <c r="F9" s="3" t="s">
        <v>47</v>
      </c>
      <c r="G9" s="7">
        <v>72</v>
      </c>
      <c r="H9" s="8">
        <v>4</v>
      </c>
      <c r="I9" s="3" t="s">
        <v>17</v>
      </c>
      <c r="J9" s="3"/>
      <c r="K9" s="3" t="s">
        <v>40</v>
      </c>
      <c r="L9" s="3"/>
      <c r="M9" s="7"/>
    </row>
    <row r="10" s="16" customFormat="1" ht="27.5" customHeight="1" outlineLevel="2" spans="1:13">
      <c r="A10" s="3" t="s">
        <v>13</v>
      </c>
      <c r="B10" s="4" t="s">
        <v>61</v>
      </c>
      <c r="C10" s="7"/>
      <c r="D10" s="6" t="s">
        <v>57</v>
      </c>
      <c r="E10" s="8">
        <v>2</v>
      </c>
      <c r="F10" s="7" t="s">
        <v>47</v>
      </c>
      <c r="G10" s="7">
        <v>36</v>
      </c>
      <c r="H10" s="8">
        <v>2</v>
      </c>
      <c r="I10" s="3" t="s">
        <v>17</v>
      </c>
      <c r="J10" s="3"/>
      <c r="K10" s="3" t="s">
        <v>40</v>
      </c>
      <c r="L10" s="3"/>
      <c r="M10" s="7"/>
    </row>
    <row r="11" s="16" customFormat="1" ht="27.5" customHeight="1" outlineLevel="2" spans="1:13">
      <c r="A11" s="3" t="s">
        <v>13</v>
      </c>
      <c r="B11" s="4" t="s">
        <v>62</v>
      </c>
      <c r="C11" s="7"/>
      <c r="D11" s="6" t="s">
        <v>57</v>
      </c>
      <c r="E11" s="8">
        <v>2</v>
      </c>
      <c r="F11" s="7" t="s">
        <v>47</v>
      </c>
      <c r="G11" s="3">
        <v>36</v>
      </c>
      <c r="H11" s="8">
        <v>2</v>
      </c>
      <c r="I11" s="3" t="s">
        <v>17</v>
      </c>
      <c r="J11" s="3"/>
      <c r="K11" s="3" t="s">
        <v>40</v>
      </c>
      <c r="L11" s="3"/>
      <c r="M11" s="7"/>
    </row>
    <row r="12" s="16" customFormat="1" ht="27.5" customHeight="1" outlineLevel="2" spans="1:13">
      <c r="A12" s="3" t="s">
        <v>13</v>
      </c>
      <c r="B12" s="4" t="s">
        <v>20</v>
      </c>
      <c r="C12" s="7"/>
      <c r="D12" s="6" t="s">
        <v>57</v>
      </c>
      <c r="E12" s="8">
        <v>2</v>
      </c>
      <c r="F12" s="7" t="s">
        <v>21</v>
      </c>
      <c r="G12" s="3">
        <v>36</v>
      </c>
      <c r="H12" s="8">
        <v>2</v>
      </c>
      <c r="I12" s="3" t="s">
        <v>22</v>
      </c>
      <c r="J12" s="3"/>
      <c r="K12" s="3" t="s">
        <v>40</v>
      </c>
      <c r="L12" s="3"/>
      <c r="M12" s="7"/>
    </row>
    <row r="13" s="16" customFormat="1" ht="27.5" customHeight="1" outlineLevel="2" spans="1:13">
      <c r="A13" s="3" t="s">
        <v>13</v>
      </c>
      <c r="B13" s="4" t="s">
        <v>63</v>
      </c>
      <c r="C13" s="7"/>
      <c r="D13" s="6" t="s">
        <v>57</v>
      </c>
      <c r="E13" s="8" t="s">
        <v>64</v>
      </c>
      <c r="F13" s="3" t="s">
        <v>16</v>
      </c>
      <c r="G13" s="7">
        <f>H13*18</f>
        <v>36</v>
      </c>
      <c r="H13" s="8">
        <v>2</v>
      </c>
      <c r="I13" s="3" t="s">
        <v>22</v>
      </c>
      <c r="J13" s="3"/>
      <c r="K13" s="3" t="s">
        <v>40</v>
      </c>
      <c r="L13" s="3"/>
      <c r="M13" s="7"/>
    </row>
    <row r="14" s="16" customFormat="1" ht="27.5" customHeight="1" outlineLevel="2" spans="1:13">
      <c r="A14" s="12" t="s">
        <v>35</v>
      </c>
      <c r="B14" s="4"/>
      <c r="C14" s="5"/>
      <c r="D14" s="6"/>
      <c r="E14" s="11">
        <v>28</v>
      </c>
      <c r="F14" s="7"/>
      <c r="G14" s="3"/>
      <c r="H14" s="8"/>
      <c r="I14" s="3"/>
      <c r="J14" s="3"/>
      <c r="K14" s="3"/>
      <c r="L14" s="3"/>
      <c r="M14" s="7"/>
    </row>
    <row r="15" s="13" customFormat="1" spans="1:9">
      <c r="A15" s="13" t="s">
        <v>65</v>
      </c>
      <c r="B15" s="13" t="s">
        <v>66</v>
      </c>
      <c r="F15" s="13" t="s">
        <v>34</v>
      </c>
      <c r="G15" s="13">
        <v>36</v>
      </c>
      <c r="H15" s="13">
        <v>2</v>
      </c>
      <c r="I15" s="13" t="s">
        <v>22</v>
      </c>
    </row>
  </sheetData>
  <mergeCells count="1">
    <mergeCell ref="A1:L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workbookViewId="0">
      <selection activeCell="L18" sqref="L18"/>
    </sheetView>
  </sheetViews>
  <sheetFormatPr defaultColWidth="8.88888888888889" defaultRowHeight="14.4"/>
  <cols>
    <col min="1" max="1" width="33.4444444444444" customWidth="1"/>
    <col min="2" max="2" width="26.2222222222222" customWidth="1"/>
    <col min="3" max="3" width="17.7777777777778" customWidth="1"/>
    <col min="4" max="4" width="15.3333333333333" customWidth="1"/>
    <col min="6" max="6" width="15.3333333333333" customWidth="1"/>
    <col min="11" max="11" width="18.5555555555556" customWidth="1"/>
  </cols>
  <sheetData>
    <row r="1" ht="27.6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3"/>
    </row>
    <row r="3" spans="1:12">
      <c r="A3" s="3" t="s">
        <v>13</v>
      </c>
      <c r="B3" s="4" t="s">
        <v>26</v>
      </c>
      <c r="C3" s="5"/>
      <c r="D3" s="6" t="s">
        <v>67</v>
      </c>
      <c r="E3" s="7">
        <v>2</v>
      </c>
      <c r="F3" s="3" t="s">
        <v>30</v>
      </c>
      <c r="G3" s="7">
        <f>H3*18</f>
        <v>36</v>
      </c>
      <c r="H3" s="7">
        <v>2</v>
      </c>
      <c r="I3" s="3" t="s">
        <v>22</v>
      </c>
      <c r="J3" s="3"/>
      <c r="K3" s="3" t="s">
        <v>40</v>
      </c>
      <c r="L3" s="3"/>
    </row>
    <row r="4" spans="1:12">
      <c r="A4" s="3" t="s">
        <v>13</v>
      </c>
      <c r="B4" s="4" t="s">
        <v>28</v>
      </c>
      <c r="C4" s="7"/>
      <c r="D4" s="6" t="s">
        <v>67</v>
      </c>
      <c r="E4" s="8">
        <v>2</v>
      </c>
      <c r="F4" s="3" t="s">
        <v>30</v>
      </c>
      <c r="G4" s="7">
        <v>36</v>
      </c>
      <c r="H4" s="8">
        <v>2</v>
      </c>
      <c r="I4" s="3" t="s">
        <v>22</v>
      </c>
      <c r="J4" s="3"/>
      <c r="K4" s="3" t="s">
        <v>40</v>
      </c>
      <c r="L4" s="3"/>
    </row>
    <row r="5" spans="1:12">
      <c r="A5" s="3" t="s">
        <v>13</v>
      </c>
      <c r="B5" s="4" t="s">
        <v>58</v>
      </c>
      <c r="C5" s="9"/>
      <c r="D5" s="6" t="s">
        <v>67</v>
      </c>
      <c r="E5" s="8">
        <v>2</v>
      </c>
      <c r="F5" s="3" t="s">
        <v>30</v>
      </c>
      <c r="G5" s="7">
        <f>H5*18</f>
        <v>36</v>
      </c>
      <c r="H5" s="8">
        <v>2</v>
      </c>
      <c r="I5" s="3" t="s">
        <v>22</v>
      </c>
      <c r="J5" s="3"/>
      <c r="K5" s="3" t="s">
        <v>40</v>
      </c>
      <c r="L5" s="3"/>
    </row>
    <row r="6" spans="1:12">
      <c r="A6" s="3" t="s">
        <v>13</v>
      </c>
      <c r="B6" s="4" t="s">
        <v>68</v>
      </c>
      <c r="C6" s="10"/>
      <c r="D6" s="6" t="s">
        <v>67</v>
      </c>
      <c r="E6" s="8">
        <v>2</v>
      </c>
      <c r="F6" s="3" t="s">
        <v>30</v>
      </c>
      <c r="G6" s="7">
        <v>36</v>
      </c>
      <c r="H6" s="8">
        <v>2</v>
      </c>
      <c r="I6" s="3" t="s">
        <v>22</v>
      </c>
      <c r="J6" s="3"/>
      <c r="K6" s="3" t="s">
        <v>40</v>
      </c>
      <c r="L6" s="3"/>
    </row>
    <row r="7" spans="1:12">
      <c r="A7" s="3" t="s">
        <v>13</v>
      </c>
      <c r="B7" s="4" t="s">
        <v>29</v>
      </c>
      <c r="C7" s="5"/>
      <c r="D7" s="6" t="s">
        <v>67</v>
      </c>
      <c r="E7" s="8">
        <v>4</v>
      </c>
      <c r="F7" s="7" t="s">
        <v>30</v>
      </c>
      <c r="G7" s="3">
        <v>72</v>
      </c>
      <c r="H7" s="8">
        <v>4</v>
      </c>
      <c r="I7" s="3" t="s">
        <v>22</v>
      </c>
      <c r="J7" s="3"/>
      <c r="K7" s="3" t="s">
        <v>40</v>
      </c>
      <c r="L7" s="3"/>
    </row>
    <row r="8" spans="1:12">
      <c r="A8" s="3" t="s">
        <v>13</v>
      </c>
      <c r="B8" s="4" t="s">
        <v>31</v>
      </c>
      <c r="C8" s="7"/>
      <c r="D8" s="6" t="s">
        <v>67</v>
      </c>
      <c r="E8" s="8">
        <v>2</v>
      </c>
      <c r="F8" s="7" t="s">
        <v>47</v>
      </c>
      <c r="G8" s="3">
        <v>36</v>
      </c>
      <c r="H8" s="8">
        <v>2</v>
      </c>
      <c r="I8" s="3" t="s">
        <v>22</v>
      </c>
      <c r="J8" s="3"/>
      <c r="K8" s="3" t="s">
        <v>40</v>
      </c>
      <c r="L8" s="3"/>
    </row>
    <row r="9" spans="1:12">
      <c r="A9" s="3" t="s">
        <v>13</v>
      </c>
      <c r="B9" s="4" t="s">
        <v>69</v>
      </c>
      <c r="C9" s="7"/>
      <c r="D9" s="6" t="s">
        <v>67</v>
      </c>
      <c r="E9" s="8">
        <v>4</v>
      </c>
      <c r="F9" s="3" t="s">
        <v>47</v>
      </c>
      <c r="G9" s="7">
        <v>72</v>
      </c>
      <c r="H9" s="8">
        <v>4</v>
      </c>
      <c r="I9" s="3" t="s">
        <v>17</v>
      </c>
      <c r="J9" s="3"/>
      <c r="K9" s="3" t="s">
        <v>40</v>
      </c>
      <c r="L9" s="3"/>
    </row>
    <row r="10" spans="1:12">
      <c r="A10" s="3" t="s">
        <v>13</v>
      </c>
      <c r="B10" s="4" t="s">
        <v>70</v>
      </c>
      <c r="C10" s="7"/>
      <c r="D10" s="6" t="s">
        <v>67</v>
      </c>
      <c r="E10" s="8">
        <v>4</v>
      </c>
      <c r="F10" s="7" t="s">
        <v>47</v>
      </c>
      <c r="G10" s="7">
        <v>72</v>
      </c>
      <c r="H10" s="8">
        <v>4</v>
      </c>
      <c r="I10" s="3" t="s">
        <v>17</v>
      </c>
      <c r="J10" s="3"/>
      <c r="K10" s="3" t="s">
        <v>40</v>
      </c>
      <c r="L10" s="3"/>
    </row>
    <row r="11" spans="1:12">
      <c r="A11" s="3" t="s">
        <v>13</v>
      </c>
      <c r="B11" s="4" t="s">
        <v>71</v>
      </c>
      <c r="C11" s="7"/>
      <c r="D11" s="6" t="s">
        <v>67</v>
      </c>
      <c r="E11" s="8">
        <v>2</v>
      </c>
      <c r="F11" s="7" t="s">
        <v>47</v>
      </c>
      <c r="G11" s="3">
        <v>36</v>
      </c>
      <c r="H11" s="8">
        <v>2</v>
      </c>
      <c r="I11" s="3" t="s">
        <v>17</v>
      </c>
      <c r="J11" s="3"/>
      <c r="K11" s="3" t="s">
        <v>40</v>
      </c>
      <c r="L11" s="3"/>
    </row>
    <row r="12" spans="1:12">
      <c r="A12" s="3" t="s">
        <v>13</v>
      </c>
      <c r="B12" s="4" t="s">
        <v>72</v>
      </c>
      <c r="C12" s="7"/>
      <c r="D12" s="6" t="s">
        <v>67</v>
      </c>
      <c r="E12" s="8">
        <v>2</v>
      </c>
      <c r="F12" s="7" t="s">
        <v>47</v>
      </c>
      <c r="G12" s="3">
        <v>36</v>
      </c>
      <c r="H12" s="8">
        <v>2</v>
      </c>
      <c r="I12" s="3" t="s">
        <v>17</v>
      </c>
      <c r="J12" s="3"/>
      <c r="K12" s="3" t="s">
        <v>40</v>
      </c>
      <c r="L12" s="3"/>
    </row>
    <row r="13" spans="1:12">
      <c r="A13" s="3" t="s">
        <v>13</v>
      </c>
      <c r="B13" s="4" t="s">
        <v>20</v>
      </c>
      <c r="C13" s="7"/>
      <c r="D13" s="6" t="s">
        <v>67</v>
      </c>
      <c r="E13" s="8">
        <v>2</v>
      </c>
      <c r="F13" s="7" t="s">
        <v>21</v>
      </c>
      <c r="G13" s="7">
        <f>H13*18</f>
        <v>36</v>
      </c>
      <c r="H13" s="8">
        <v>2</v>
      </c>
      <c r="I13" s="3" t="s">
        <v>22</v>
      </c>
      <c r="J13" s="3"/>
      <c r="K13" s="3" t="s">
        <v>40</v>
      </c>
      <c r="L13" s="3"/>
    </row>
    <row r="14" spans="1:12">
      <c r="A14" s="3" t="s">
        <v>73</v>
      </c>
      <c r="B14" s="4" t="s">
        <v>74</v>
      </c>
      <c r="C14" s="5"/>
      <c r="D14" s="6" t="s">
        <v>67</v>
      </c>
      <c r="E14" s="11"/>
      <c r="F14" s="3" t="s">
        <v>16</v>
      </c>
      <c r="G14" s="3"/>
      <c r="H14" s="8" t="s">
        <v>64</v>
      </c>
      <c r="I14" s="3" t="s">
        <v>22</v>
      </c>
      <c r="J14" s="3"/>
      <c r="K14" s="3" t="s">
        <v>40</v>
      </c>
      <c r="L14" s="14"/>
    </row>
    <row r="15" spans="1:12">
      <c r="A15" s="12" t="s">
        <v>35</v>
      </c>
      <c r="B15" s="4"/>
      <c r="C15" s="5"/>
      <c r="D15" s="6"/>
      <c r="E15" s="11">
        <f>SUM(E3:E14)</f>
        <v>28</v>
      </c>
      <c r="F15" s="7"/>
      <c r="G15" s="3"/>
      <c r="H15" s="8"/>
      <c r="I15" s="3"/>
      <c r="J15" s="3"/>
      <c r="K15" s="3"/>
      <c r="L15" s="3"/>
    </row>
    <row r="16" spans="1:1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</sheetData>
  <mergeCells count="1">
    <mergeCell ref="A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第一学期</vt:lpstr>
      <vt:lpstr>第二学期</vt:lpstr>
      <vt:lpstr>第三学期</vt:lpstr>
      <vt:lpstr>第四学期</vt:lpstr>
      <vt:lpstr>第五学期</vt:lpstr>
      <vt:lpstr>第六学期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景玉梦云</cp:lastModifiedBy>
  <dcterms:created xsi:type="dcterms:W3CDTF">2022-05-22T15:31:00Z</dcterms:created>
  <dcterms:modified xsi:type="dcterms:W3CDTF">2024-12-24T05:24:25Z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BE4ADFBB258E4B99A040D5E9C3329E1F</vt:lpwstr>
  </property>
  <property fmtid="{D5CDD505-2E9C-101B-9397-08002B2CF9AE}" pid="3" name="KSOProductBuildVer">
    <vt:lpwstr>2052-12.1.0.16929</vt:lpwstr>
  </property>
</Properties>
</file>