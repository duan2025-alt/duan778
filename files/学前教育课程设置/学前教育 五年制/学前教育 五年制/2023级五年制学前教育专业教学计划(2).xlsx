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5"/>
  </bookViews>
  <sheets>
    <sheet name="第一学期" sheetId="1" r:id="rId1"/>
    <sheet name="第二学期 " sheetId="4" r:id="rId2"/>
    <sheet name="第三学期" sheetId="2" r:id="rId3"/>
    <sheet name="第四学期" sheetId="3" r:id="rId4"/>
    <sheet name="第五学期" sheetId="5" r:id="rId5"/>
    <sheet name="第六学期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<sst xmlns="http://schemas.openxmlformats.org/spreadsheetml/2006/main" count="393" uniqueCount="65">
  <si>
    <t>2023年秋季学期教学计划</t>
  </si>
  <si>
    <t>班级</t>
  </si>
  <si>
    <t>课程</t>
  </si>
  <si>
    <t>任课教师</t>
  </si>
  <si>
    <t>开课学期</t>
  </si>
  <si>
    <t>周课时</t>
  </si>
  <si>
    <t>课型</t>
  </si>
  <si>
    <t>总课时</t>
  </si>
  <si>
    <t>学分</t>
  </si>
  <si>
    <t>考核方式</t>
  </si>
  <si>
    <t>排课要求</t>
  </si>
  <si>
    <t>办学点</t>
  </si>
  <si>
    <t xml:space="preserve">2023级五年制专科学前教育班 </t>
  </si>
  <si>
    <t>思想道德与法治</t>
  </si>
  <si>
    <t>2023/9</t>
  </si>
  <si>
    <t>思政课</t>
  </si>
  <si>
    <t>考试</t>
  </si>
  <si>
    <t>陇川县职业高级中学</t>
  </si>
  <si>
    <t>体育</t>
  </si>
  <si>
    <t>公共基础课</t>
  </si>
  <si>
    <t>考查</t>
  </si>
  <si>
    <t>大学英语</t>
  </si>
  <si>
    <t>语文</t>
  </si>
  <si>
    <t>美术</t>
  </si>
  <si>
    <t>专业技能课</t>
  </si>
  <si>
    <t>手工</t>
  </si>
  <si>
    <t>钢琴及视唱练耳</t>
  </si>
  <si>
    <t>专业基础课</t>
  </si>
  <si>
    <t>舞蹈及幼儿舞蹈</t>
  </si>
  <si>
    <t>乐理</t>
  </si>
  <si>
    <t>葫芦丝演奏</t>
  </si>
  <si>
    <t>专业选修课</t>
  </si>
  <si>
    <t>中国历史</t>
  </si>
  <si>
    <t>2023级五年制专科学前教育班 汇总</t>
  </si>
  <si>
    <t>建议开设的选修课</t>
  </si>
  <si>
    <t>书法</t>
  </si>
  <si>
    <t>专业选修课36</t>
  </si>
  <si>
    <t>2024年春季学期教学计划</t>
  </si>
  <si>
    <t>2023级五年制专科学前教育班</t>
  </si>
  <si>
    <t>心理健康与职业生涯</t>
  </si>
  <si>
    <t>2024/3</t>
  </si>
  <si>
    <t>陇川职业高级中学</t>
  </si>
  <si>
    <t>普通话</t>
  </si>
  <si>
    <t>世界历史</t>
  </si>
  <si>
    <t>2023级五年制专科学前教育班   汇总</t>
  </si>
  <si>
    <t>2024年秋季学前教育专业聘课表</t>
  </si>
  <si>
    <t>班级所属学院</t>
  </si>
  <si>
    <t>毛泽东思想和中国特色社会主义理论体系概论</t>
  </si>
  <si>
    <t>2024/9</t>
  </si>
  <si>
    <t>学前教育学</t>
  </si>
  <si>
    <t>专业核心课</t>
  </si>
  <si>
    <t>幼儿教师礼仪</t>
  </si>
  <si>
    <t>2025年春季学前教育专业聘课表</t>
  </si>
  <si>
    <t>哲学与人生</t>
  </si>
  <si>
    <t>2025/3</t>
  </si>
  <si>
    <t>中外教育史</t>
  </si>
  <si>
    <t>大学计算机办公应用</t>
  </si>
  <si>
    <t>2026年春季学期学前教育专业聘课表</t>
  </si>
  <si>
    <t>2026/3</t>
  </si>
  <si>
    <t>影视鉴赏</t>
  </si>
  <si>
    <t>学前儿童心理学</t>
  </si>
  <si>
    <t>幼儿园班级管理</t>
  </si>
  <si>
    <t>学前儿童科学教育</t>
  </si>
  <si>
    <t>声乐</t>
  </si>
  <si>
    <t>学前儿童数学教育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</si>
</sst>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2">
    <font>
      <sz val="11"/>
      <color theme="1"/>
      <name val="宋体"/>
      <charset val="134"/>
      <scheme val="minor"/>
    </font>
    <font>
      <sz val="20"/>
      <name val="微软雅黑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0.5"/>
      <color theme="1"/>
      <name val="宋体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ajor"/>
    </font>
    <font>
      <b/>
      <sz val="10"/>
      <name val="宋体"/>
      <charset val="134"/>
    </font>
    <font>
      <b/>
      <sz val="14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 applyBorder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49" fontId="2" fillId="0" borderId="1" xfId="49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49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76" fontId="5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49" applyNumberFormat="1" applyFont="1" applyFill="1" applyBorder="1" applyAlignment="1">
      <alignment horizontal="left" vertical="center" wrapText="1"/>
    </xf>
    <xf numFmtId="0" fontId="0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8" fillId="0" borderId="0" xfId="0" applyFont="1" applyFill="1" applyAlignment="1">
      <alignment horizontal="center" vertical="center"/>
    </xf>
    <xf numFmtId="49" fontId="7" fillId="0" borderId="1" xfId="49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justify" vertical="center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/>
    </xf>
    <xf numFmtId="176" fontId="11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B18" sqref="B18"/>
    </sheetView>
  </sheetViews>
  <sheetFormatPr defaultColWidth="9" defaultRowHeight="27.5" customHeight="1"/>
  <cols>
    <col min="1" max="1" width="30.3362831858407" customWidth="1"/>
    <col min="2" max="2" width="20.5575221238938" customWidth="1"/>
    <col min="4" max="4" width="10.4424778761062" customWidth="1"/>
    <col min="5" max="5" width="7.66371681415929" customWidth="1"/>
    <col min="6" max="6" width="11.7699115044248" customWidth="1"/>
    <col min="7" max="7" width="7.33628318584071" customWidth="1"/>
    <col min="8" max="8" width="5.44247787610619" customWidth="1"/>
    <col min="11" max="11" width="19.7699115044248" customWidth="1"/>
  </cols>
  <sheetData>
    <row r="1" s="32" customFormat="1" customHeight="1" spans="1:1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="32" customFormat="1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40" t="s">
        <v>11</v>
      </c>
    </row>
    <row r="3" s="32" customFormat="1" ht="22" customHeight="1" spans="1:11">
      <c r="A3" s="3" t="s">
        <v>12</v>
      </c>
      <c r="B3" s="41" t="s">
        <v>13</v>
      </c>
      <c r="C3" s="24"/>
      <c r="D3" s="25" t="s">
        <v>14</v>
      </c>
      <c r="E3" s="20">
        <v>2</v>
      </c>
      <c r="F3" s="26" t="s">
        <v>15</v>
      </c>
      <c r="G3" s="3">
        <v>36</v>
      </c>
      <c r="H3" s="20">
        <v>2</v>
      </c>
      <c r="I3" s="3" t="s">
        <v>16</v>
      </c>
      <c r="J3" s="3"/>
      <c r="K3" s="3" t="s">
        <v>17</v>
      </c>
    </row>
    <row r="4" s="32" customFormat="1" ht="22" customHeight="1" spans="1:11">
      <c r="A4" s="3" t="s">
        <v>12</v>
      </c>
      <c r="B4" s="42" t="s">
        <v>18</v>
      </c>
      <c r="C4" s="3"/>
      <c r="D4" s="25" t="s">
        <v>14</v>
      </c>
      <c r="E4" s="20">
        <v>2</v>
      </c>
      <c r="F4" s="26" t="s">
        <v>19</v>
      </c>
      <c r="G4" s="3">
        <v>36</v>
      </c>
      <c r="H4" s="20">
        <v>2</v>
      </c>
      <c r="I4" s="3" t="s">
        <v>20</v>
      </c>
      <c r="J4" s="3"/>
      <c r="K4" s="3" t="s">
        <v>17</v>
      </c>
    </row>
    <row r="5" s="32" customFormat="1" ht="22" customHeight="1" spans="1:11">
      <c r="A5" s="3" t="s">
        <v>12</v>
      </c>
      <c r="B5" s="42" t="s">
        <v>21</v>
      </c>
      <c r="C5" s="3"/>
      <c r="D5" s="25" t="s">
        <v>14</v>
      </c>
      <c r="E5" s="20">
        <v>4</v>
      </c>
      <c r="F5" s="3" t="s">
        <v>19</v>
      </c>
      <c r="G5" s="26">
        <v>72</v>
      </c>
      <c r="H5" s="20">
        <v>4</v>
      </c>
      <c r="I5" s="3" t="s">
        <v>20</v>
      </c>
      <c r="J5" s="3"/>
      <c r="K5" s="3" t="s">
        <v>17</v>
      </c>
    </row>
    <row r="6" s="32" customFormat="1" ht="22" customHeight="1" spans="1:11">
      <c r="A6" s="3" t="s">
        <v>12</v>
      </c>
      <c r="B6" s="42" t="s">
        <v>22</v>
      </c>
      <c r="C6" s="3"/>
      <c r="D6" s="25" t="s">
        <v>14</v>
      </c>
      <c r="E6" s="20">
        <v>4</v>
      </c>
      <c r="F6" s="3" t="s">
        <v>19</v>
      </c>
      <c r="G6" s="26">
        <f>H6*18</f>
        <v>72</v>
      </c>
      <c r="H6" s="20">
        <v>4</v>
      </c>
      <c r="I6" s="3" t="s">
        <v>20</v>
      </c>
      <c r="J6" s="3"/>
      <c r="K6" s="3" t="s">
        <v>17</v>
      </c>
    </row>
    <row r="7" s="32" customFormat="1" ht="22" customHeight="1" spans="1:11">
      <c r="A7" s="3" t="s">
        <v>12</v>
      </c>
      <c r="B7" s="42" t="s">
        <v>23</v>
      </c>
      <c r="C7" s="27"/>
      <c r="D7" s="25" t="s">
        <v>14</v>
      </c>
      <c r="E7" s="20">
        <v>2</v>
      </c>
      <c r="F7" s="26" t="s">
        <v>24</v>
      </c>
      <c r="G7" s="3">
        <v>36</v>
      </c>
      <c r="H7" s="20">
        <v>2</v>
      </c>
      <c r="I7" s="3" t="s">
        <v>20</v>
      </c>
      <c r="J7" s="3"/>
      <c r="K7" s="3" t="s">
        <v>17</v>
      </c>
    </row>
    <row r="8" s="32" customFormat="1" ht="22" customHeight="1" spans="1:11">
      <c r="A8" s="3" t="s">
        <v>12</v>
      </c>
      <c r="B8" s="42" t="s">
        <v>25</v>
      </c>
      <c r="C8" s="26"/>
      <c r="D8" s="25" t="s">
        <v>14</v>
      </c>
      <c r="E8" s="20">
        <v>2</v>
      </c>
      <c r="F8" s="3" t="s">
        <v>24</v>
      </c>
      <c r="G8" s="26">
        <f>H8*18</f>
        <v>36</v>
      </c>
      <c r="H8" s="20">
        <v>2</v>
      </c>
      <c r="I8" s="3" t="s">
        <v>20</v>
      </c>
      <c r="J8" s="3"/>
      <c r="K8" s="3" t="s">
        <v>17</v>
      </c>
    </row>
    <row r="9" s="32" customFormat="1" ht="22" customHeight="1" spans="1:11">
      <c r="A9" s="3" t="s">
        <v>12</v>
      </c>
      <c r="B9" s="42" t="s">
        <v>26</v>
      </c>
      <c r="C9" s="26"/>
      <c r="D9" s="25" t="s">
        <v>14</v>
      </c>
      <c r="E9" s="20">
        <v>4</v>
      </c>
      <c r="F9" s="3" t="s">
        <v>27</v>
      </c>
      <c r="G9" s="26">
        <v>72</v>
      </c>
      <c r="H9" s="20">
        <v>4</v>
      </c>
      <c r="I9" s="3" t="s">
        <v>20</v>
      </c>
      <c r="J9" s="3"/>
      <c r="K9" s="3" t="s">
        <v>17</v>
      </c>
    </row>
    <row r="10" s="32" customFormat="1" ht="22" customHeight="1" spans="1:11">
      <c r="A10" s="3" t="s">
        <v>12</v>
      </c>
      <c r="B10" s="42" t="s">
        <v>28</v>
      </c>
      <c r="C10" s="26"/>
      <c r="D10" s="25" t="s">
        <v>14</v>
      </c>
      <c r="E10" s="20">
        <v>4</v>
      </c>
      <c r="F10" s="3" t="s">
        <v>27</v>
      </c>
      <c r="G10" s="26">
        <v>72</v>
      </c>
      <c r="H10" s="20">
        <v>4</v>
      </c>
      <c r="I10" s="3" t="s">
        <v>20</v>
      </c>
      <c r="J10" s="3"/>
      <c r="K10" s="3" t="s">
        <v>17</v>
      </c>
    </row>
    <row r="11" s="32" customFormat="1" ht="22" customHeight="1" spans="1:11">
      <c r="A11" s="3" t="s">
        <v>12</v>
      </c>
      <c r="B11" s="42" t="s">
        <v>29</v>
      </c>
      <c r="C11" s="26"/>
      <c r="D11" s="25" t="s">
        <v>14</v>
      </c>
      <c r="E11" s="20">
        <v>2</v>
      </c>
      <c r="F11" s="3" t="s">
        <v>27</v>
      </c>
      <c r="G11" s="26">
        <v>36</v>
      </c>
      <c r="H11" s="20">
        <v>2</v>
      </c>
      <c r="I11" s="3" t="s">
        <v>16</v>
      </c>
      <c r="J11" s="3"/>
      <c r="K11" s="3" t="s">
        <v>17</v>
      </c>
    </row>
    <row r="12" s="32" customFormat="1" ht="22" customHeight="1" spans="1:11">
      <c r="A12" s="3" t="s">
        <v>12</v>
      </c>
      <c r="B12" s="42" t="s">
        <v>30</v>
      </c>
      <c r="C12" s="26"/>
      <c r="D12" s="25" t="s">
        <v>14</v>
      </c>
      <c r="E12" s="20">
        <v>2</v>
      </c>
      <c r="F12" s="3" t="s">
        <v>31</v>
      </c>
      <c r="G12" s="26">
        <v>36</v>
      </c>
      <c r="H12" s="20">
        <v>2</v>
      </c>
      <c r="I12" s="3" t="s">
        <v>20</v>
      </c>
      <c r="J12" s="3"/>
      <c r="K12" s="3" t="s">
        <v>17</v>
      </c>
    </row>
    <row r="13" s="32" customFormat="1" ht="22" customHeight="1" spans="1:11">
      <c r="A13" s="43" t="s">
        <v>12</v>
      </c>
      <c r="B13" s="44" t="s">
        <v>32</v>
      </c>
      <c r="C13" s="36"/>
      <c r="D13" s="45" t="s">
        <v>14</v>
      </c>
      <c r="E13" s="46">
        <v>3</v>
      </c>
      <c r="F13" s="43" t="s">
        <v>19</v>
      </c>
      <c r="G13" s="36">
        <v>54</v>
      </c>
      <c r="H13" s="46">
        <v>3</v>
      </c>
      <c r="I13" s="43" t="s">
        <v>16</v>
      </c>
      <c r="J13" s="43"/>
      <c r="K13" s="43" t="s">
        <v>17</v>
      </c>
    </row>
    <row r="14" s="32" customFormat="1" ht="22" customHeight="1" spans="1:11">
      <c r="A14" s="18" t="s">
        <v>33</v>
      </c>
      <c r="B14" s="3"/>
      <c r="C14" s="3"/>
      <c r="D14" s="3"/>
      <c r="E14" s="19">
        <v>31</v>
      </c>
      <c r="F14" s="3"/>
      <c r="G14" s="3"/>
      <c r="H14" s="20"/>
      <c r="I14" s="3"/>
      <c r="J14" s="3"/>
      <c r="K14" s="3"/>
    </row>
    <row r="15" ht="22" customHeight="1" spans="1:11">
      <c r="A15" t="s">
        <v>34</v>
      </c>
      <c r="B15" t="s">
        <v>35</v>
      </c>
      <c r="E15" s="47">
        <v>2</v>
      </c>
      <c r="F15" t="s">
        <v>36</v>
      </c>
      <c r="H15">
        <v>2</v>
      </c>
      <c r="I15" t="s">
        <v>20</v>
      </c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I5" sqref="I5"/>
    </sheetView>
  </sheetViews>
  <sheetFormatPr defaultColWidth="9" defaultRowHeight="27.5" customHeight="1"/>
  <cols>
    <col min="1" max="1" width="30.3362831858407" customWidth="1"/>
    <col min="2" max="2" width="20.5575221238938" customWidth="1"/>
    <col min="4" max="4" width="10.4424778761062" customWidth="1"/>
    <col min="5" max="5" width="7.66371681415929" customWidth="1"/>
    <col min="6" max="6" width="11.7699115044248" customWidth="1"/>
    <col min="7" max="7" width="7.33628318584071" customWidth="1"/>
    <col min="8" max="8" width="5.44247787610619" customWidth="1"/>
    <col min="11" max="11" width="19.7699115044248" customWidth="1"/>
  </cols>
  <sheetData>
    <row r="1" s="32" customFormat="1" customHeight="1" spans="1:11">
      <c r="A1" s="33" t="s">
        <v>37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="32" customFormat="1" customHeight="1" spans="1:11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4" t="s">
        <v>10</v>
      </c>
      <c r="K2" s="35" t="s">
        <v>11</v>
      </c>
    </row>
    <row r="3" s="32" customFormat="1" ht="22" customHeight="1" spans="1:11">
      <c r="A3" s="3" t="s">
        <v>38</v>
      </c>
      <c r="B3" s="36" t="s">
        <v>39</v>
      </c>
      <c r="C3" s="24"/>
      <c r="D3" s="25" t="s">
        <v>40</v>
      </c>
      <c r="E3" s="20">
        <v>2</v>
      </c>
      <c r="F3" s="26" t="s">
        <v>15</v>
      </c>
      <c r="G3" s="3">
        <v>36</v>
      </c>
      <c r="H3" s="20">
        <v>2</v>
      </c>
      <c r="I3" s="3" t="s">
        <v>16</v>
      </c>
      <c r="J3" s="3"/>
      <c r="K3" s="3" t="s">
        <v>41</v>
      </c>
    </row>
    <row r="4" s="32" customFormat="1" ht="22" customHeight="1" spans="1:11">
      <c r="A4" s="3" t="s">
        <v>38</v>
      </c>
      <c r="B4" s="37" t="s">
        <v>18</v>
      </c>
      <c r="C4" s="3"/>
      <c r="D4" s="25" t="s">
        <v>40</v>
      </c>
      <c r="E4" s="20">
        <v>2</v>
      </c>
      <c r="F4" s="26" t="s">
        <v>19</v>
      </c>
      <c r="G4" s="3">
        <v>36</v>
      </c>
      <c r="H4" s="20">
        <v>2</v>
      </c>
      <c r="I4" s="3" t="s">
        <v>20</v>
      </c>
      <c r="J4" s="3"/>
      <c r="K4" s="3" t="s">
        <v>41</v>
      </c>
    </row>
    <row r="5" s="32" customFormat="1" ht="22" customHeight="1" spans="1:11">
      <c r="A5" s="3" t="s">
        <v>38</v>
      </c>
      <c r="B5" s="37" t="s">
        <v>21</v>
      </c>
      <c r="C5" s="3"/>
      <c r="D5" s="25" t="s">
        <v>40</v>
      </c>
      <c r="E5" s="20">
        <v>4</v>
      </c>
      <c r="F5" s="3" t="s">
        <v>19</v>
      </c>
      <c r="G5" s="26">
        <v>72</v>
      </c>
      <c r="H5" s="20">
        <v>4</v>
      </c>
      <c r="I5" s="3" t="s">
        <v>16</v>
      </c>
      <c r="J5" s="3"/>
      <c r="K5" s="3" t="s">
        <v>41</v>
      </c>
    </row>
    <row r="6" s="32" customFormat="1" ht="22" customHeight="1" spans="1:11">
      <c r="A6" s="3" t="s">
        <v>38</v>
      </c>
      <c r="B6" s="37" t="s">
        <v>22</v>
      </c>
      <c r="C6" s="3"/>
      <c r="D6" s="25" t="s">
        <v>40</v>
      </c>
      <c r="E6" s="20">
        <v>4</v>
      </c>
      <c r="F6" s="3" t="s">
        <v>19</v>
      </c>
      <c r="G6" s="26">
        <v>72</v>
      </c>
      <c r="H6" s="20">
        <v>4</v>
      </c>
      <c r="I6" s="3" t="s">
        <v>16</v>
      </c>
      <c r="J6" s="3"/>
      <c r="K6" s="3" t="s">
        <v>41</v>
      </c>
    </row>
    <row r="7" s="32" customFormat="1" ht="22" customHeight="1" spans="1:11">
      <c r="A7" s="3" t="s">
        <v>38</v>
      </c>
      <c r="B7" s="37" t="s">
        <v>23</v>
      </c>
      <c r="C7" s="27"/>
      <c r="D7" s="25" t="s">
        <v>40</v>
      </c>
      <c r="E7" s="20">
        <v>2</v>
      </c>
      <c r="F7" s="26" t="s">
        <v>27</v>
      </c>
      <c r="G7" s="3">
        <v>36</v>
      </c>
      <c r="H7" s="20">
        <v>2</v>
      </c>
      <c r="I7" s="3" t="s">
        <v>20</v>
      </c>
      <c r="J7" s="3"/>
      <c r="K7" s="3" t="s">
        <v>41</v>
      </c>
    </row>
    <row r="8" s="32" customFormat="1" ht="22" customHeight="1" spans="1:11">
      <c r="A8" s="3" t="s">
        <v>38</v>
      </c>
      <c r="B8" s="37" t="s">
        <v>25</v>
      </c>
      <c r="C8" s="26"/>
      <c r="D8" s="25" t="s">
        <v>40</v>
      </c>
      <c r="E8" s="20">
        <v>2</v>
      </c>
      <c r="F8" s="3" t="s">
        <v>27</v>
      </c>
      <c r="G8" s="26">
        <v>36</v>
      </c>
      <c r="H8" s="20">
        <v>2</v>
      </c>
      <c r="I8" s="3" t="s">
        <v>20</v>
      </c>
      <c r="J8" s="3"/>
      <c r="K8" s="3" t="s">
        <v>41</v>
      </c>
    </row>
    <row r="9" s="32" customFormat="1" ht="22" customHeight="1" spans="1:11">
      <c r="A9" s="3" t="s">
        <v>38</v>
      </c>
      <c r="B9" s="37" t="s">
        <v>29</v>
      </c>
      <c r="C9" s="26"/>
      <c r="D9" s="25" t="s">
        <v>40</v>
      </c>
      <c r="E9" s="20">
        <v>2</v>
      </c>
      <c r="F9" s="3" t="s">
        <v>27</v>
      </c>
      <c r="G9" s="26">
        <v>36</v>
      </c>
      <c r="H9" s="20">
        <v>2</v>
      </c>
      <c r="I9" s="3" t="s">
        <v>16</v>
      </c>
      <c r="J9" s="3"/>
      <c r="K9" s="3" t="s">
        <v>41</v>
      </c>
    </row>
    <row r="10" s="32" customFormat="1" ht="22" customHeight="1" spans="1:11">
      <c r="A10" s="3" t="s">
        <v>38</v>
      </c>
      <c r="B10" s="37" t="s">
        <v>26</v>
      </c>
      <c r="C10" s="26"/>
      <c r="D10" s="25" t="s">
        <v>40</v>
      </c>
      <c r="E10" s="20">
        <v>4</v>
      </c>
      <c r="F10" s="3" t="s">
        <v>27</v>
      </c>
      <c r="G10" s="26">
        <v>72</v>
      </c>
      <c r="H10" s="20">
        <v>4</v>
      </c>
      <c r="I10" s="3" t="s">
        <v>20</v>
      </c>
      <c r="J10" s="3"/>
      <c r="K10" s="3" t="s">
        <v>41</v>
      </c>
    </row>
    <row r="11" s="32" customFormat="1" ht="22" customHeight="1" spans="1:11">
      <c r="A11" s="3" t="s">
        <v>38</v>
      </c>
      <c r="B11" s="37" t="s">
        <v>28</v>
      </c>
      <c r="C11" s="26"/>
      <c r="D11" s="25" t="s">
        <v>40</v>
      </c>
      <c r="E11" s="20">
        <v>2</v>
      </c>
      <c r="F11" s="3" t="s">
        <v>27</v>
      </c>
      <c r="G11" s="26">
        <v>36</v>
      </c>
      <c r="H11" s="20">
        <v>2</v>
      </c>
      <c r="I11" s="3" t="s">
        <v>20</v>
      </c>
      <c r="J11" s="3"/>
      <c r="K11" s="3" t="s">
        <v>41</v>
      </c>
    </row>
    <row r="12" s="32" customFormat="1" ht="22" customHeight="1" spans="1:11">
      <c r="A12" s="3" t="s">
        <v>38</v>
      </c>
      <c r="B12" s="37" t="s">
        <v>30</v>
      </c>
      <c r="C12" s="26"/>
      <c r="D12" s="25" t="s">
        <v>40</v>
      </c>
      <c r="E12" s="20">
        <v>2</v>
      </c>
      <c r="F12" s="3" t="s">
        <v>31</v>
      </c>
      <c r="G12" s="26">
        <v>36</v>
      </c>
      <c r="H12" s="20">
        <v>2</v>
      </c>
      <c r="I12" s="3" t="s">
        <v>20</v>
      </c>
      <c r="J12" s="3"/>
      <c r="K12" s="3" t="s">
        <v>41</v>
      </c>
    </row>
    <row r="13" s="32" customFormat="1" ht="22" customHeight="1" spans="1:11">
      <c r="A13" s="3" t="s">
        <v>38</v>
      </c>
      <c r="B13" s="3" t="s">
        <v>42</v>
      </c>
      <c r="C13" s="3"/>
      <c r="D13" s="25" t="s">
        <v>40</v>
      </c>
      <c r="E13" s="20">
        <v>2</v>
      </c>
      <c r="F13" s="3" t="s">
        <v>19</v>
      </c>
      <c r="G13" s="3">
        <v>36</v>
      </c>
      <c r="H13" s="20">
        <v>2</v>
      </c>
      <c r="I13" s="3" t="s">
        <v>20</v>
      </c>
      <c r="J13" s="3"/>
      <c r="K13" s="3" t="s">
        <v>41</v>
      </c>
    </row>
    <row r="14" ht="22" customHeight="1" spans="1:11">
      <c r="A14" s="38" t="s">
        <v>38</v>
      </c>
      <c r="B14" s="38" t="s">
        <v>43</v>
      </c>
      <c r="C14" s="38"/>
      <c r="D14" s="25" t="s">
        <v>40</v>
      </c>
      <c r="E14" s="38">
        <v>3</v>
      </c>
      <c r="F14" s="38" t="s">
        <v>19</v>
      </c>
      <c r="G14" s="38">
        <v>54</v>
      </c>
      <c r="H14" s="38">
        <v>3</v>
      </c>
      <c r="I14" s="38" t="s">
        <v>20</v>
      </c>
      <c r="J14" s="38"/>
      <c r="K14" s="38" t="s">
        <v>41</v>
      </c>
    </row>
    <row r="15" customHeight="1" spans="1:11">
      <c r="A15" s="39" t="s">
        <v>44</v>
      </c>
      <c r="B15" s="39"/>
      <c r="C15" s="39"/>
      <c r="D15" s="39"/>
      <c r="E15" s="39">
        <v>31</v>
      </c>
      <c r="F15" s="38"/>
      <c r="G15" s="38"/>
      <c r="H15" s="38"/>
      <c r="I15" s="38"/>
      <c r="J15" s="38"/>
      <c r="K15" s="38"/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A1" sqref="A1:L1"/>
    </sheetView>
  </sheetViews>
  <sheetFormatPr defaultColWidth="9" defaultRowHeight="13.5"/>
  <cols>
    <col min="1" max="1" width="26.2654867256637" customWidth="1"/>
    <col min="2" max="2" width="23.5486725663717" customWidth="1"/>
    <col min="6" max="6" width="14.7345132743363" customWidth="1"/>
  </cols>
  <sheetData>
    <row r="1" s="28" customFormat="1" ht="27.5" customHeight="1" spans="1:13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="28" customFormat="1" ht="27.5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46</v>
      </c>
      <c r="L2" s="3"/>
    </row>
    <row r="3" s="29" customFormat="1" ht="27.5" customHeight="1" outlineLevel="2" spans="1:13">
      <c r="A3" s="3" t="s">
        <v>38</v>
      </c>
      <c r="B3" s="23" t="s">
        <v>47</v>
      </c>
      <c r="C3" s="24"/>
      <c r="D3" s="25" t="s">
        <v>48</v>
      </c>
      <c r="E3" s="20">
        <v>4</v>
      </c>
      <c r="F3" s="26" t="s">
        <v>15</v>
      </c>
      <c r="G3" s="3">
        <v>72</v>
      </c>
      <c r="H3" s="20">
        <v>4</v>
      </c>
      <c r="I3" s="3" t="s">
        <v>16</v>
      </c>
      <c r="J3" s="3"/>
      <c r="K3" s="3" t="s">
        <v>41</v>
      </c>
      <c r="L3" s="3"/>
      <c r="M3" s="26"/>
    </row>
    <row r="4" s="29" customFormat="1" ht="27.5" customHeight="1" outlineLevel="2" spans="1:13">
      <c r="A4" s="3" t="s">
        <v>38</v>
      </c>
      <c r="B4" s="23" t="s">
        <v>18</v>
      </c>
      <c r="C4" s="3"/>
      <c r="D4" s="25" t="s">
        <v>48</v>
      </c>
      <c r="E4" s="20">
        <v>2</v>
      </c>
      <c r="F4" s="26" t="s">
        <v>19</v>
      </c>
      <c r="G4" s="3">
        <v>36</v>
      </c>
      <c r="H4" s="20">
        <v>2</v>
      </c>
      <c r="I4" s="3" t="s">
        <v>20</v>
      </c>
      <c r="J4" s="3"/>
      <c r="K4" s="3" t="s">
        <v>41</v>
      </c>
      <c r="L4" s="3"/>
      <c r="M4" s="26"/>
    </row>
    <row r="5" s="29" customFormat="1" ht="27.5" customHeight="1" outlineLevel="2" spans="1:13">
      <c r="A5" s="3" t="s">
        <v>38</v>
      </c>
      <c r="B5" s="23" t="s">
        <v>21</v>
      </c>
      <c r="C5" s="3"/>
      <c r="D5" s="25" t="s">
        <v>48</v>
      </c>
      <c r="E5" s="20">
        <v>4</v>
      </c>
      <c r="F5" s="3" t="s">
        <v>19</v>
      </c>
      <c r="G5" s="26">
        <v>72</v>
      </c>
      <c r="H5" s="20">
        <v>4</v>
      </c>
      <c r="I5" s="3" t="s">
        <v>16</v>
      </c>
      <c r="J5" s="3"/>
      <c r="K5" s="3" t="s">
        <v>41</v>
      </c>
      <c r="L5" s="3"/>
      <c r="M5" s="26"/>
    </row>
    <row r="6" s="29" customFormat="1" ht="27.5" customHeight="1" outlineLevel="2" spans="1:13">
      <c r="A6" s="3" t="s">
        <v>38</v>
      </c>
      <c r="B6" s="23" t="s">
        <v>22</v>
      </c>
      <c r="C6" s="3"/>
      <c r="D6" s="25" t="s">
        <v>48</v>
      </c>
      <c r="E6" s="20">
        <v>4</v>
      </c>
      <c r="F6" s="3" t="s">
        <v>19</v>
      </c>
      <c r="G6" s="26">
        <f t="shared" ref="G6:G10" si="0">H6*18</f>
        <v>72</v>
      </c>
      <c r="H6" s="20">
        <v>4</v>
      </c>
      <c r="I6" s="3" t="s">
        <v>16</v>
      </c>
      <c r="J6" s="3"/>
      <c r="K6" s="3" t="s">
        <v>41</v>
      </c>
      <c r="L6" s="3"/>
      <c r="M6" s="26"/>
    </row>
    <row r="7" s="29" customFormat="1" ht="27.5" customHeight="1" outlineLevel="2" spans="1:13">
      <c r="A7" s="3" t="s">
        <v>38</v>
      </c>
      <c r="B7" s="23" t="s">
        <v>23</v>
      </c>
      <c r="C7" s="27"/>
      <c r="D7" s="25" t="s">
        <v>48</v>
      </c>
      <c r="E7" s="20">
        <v>2</v>
      </c>
      <c r="F7" s="26" t="s">
        <v>27</v>
      </c>
      <c r="G7" s="3">
        <v>36</v>
      </c>
      <c r="H7" s="20">
        <v>2</v>
      </c>
      <c r="I7" s="3" t="s">
        <v>20</v>
      </c>
      <c r="J7" s="3"/>
      <c r="K7" s="3" t="s">
        <v>41</v>
      </c>
      <c r="L7" s="3"/>
      <c r="M7" s="26"/>
    </row>
    <row r="8" s="29" customFormat="1" ht="27.5" customHeight="1" outlineLevel="2" spans="1:13">
      <c r="A8" s="3" t="s">
        <v>38</v>
      </c>
      <c r="B8" s="23" t="s">
        <v>25</v>
      </c>
      <c r="C8" s="26"/>
      <c r="D8" s="25" t="s">
        <v>48</v>
      </c>
      <c r="E8" s="20">
        <v>2</v>
      </c>
      <c r="F8" s="3" t="s">
        <v>27</v>
      </c>
      <c r="G8" s="26">
        <f t="shared" si="0"/>
        <v>36</v>
      </c>
      <c r="H8" s="20">
        <v>2</v>
      </c>
      <c r="I8" s="3" t="s">
        <v>20</v>
      </c>
      <c r="J8" s="3"/>
      <c r="K8" s="3" t="s">
        <v>41</v>
      </c>
      <c r="L8" s="3"/>
      <c r="M8" s="26"/>
    </row>
    <row r="9" s="30" customFormat="1" ht="27.5" customHeight="1" outlineLevel="2" spans="1:13">
      <c r="A9" s="3" t="s">
        <v>38</v>
      </c>
      <c r="B9" s="23" t="s">
        <v>26</v>
      </c>
      <c r="C9" s="26"/>
      <c r="D9" s="25" t="s">
        <v>48</v>
      </c>
      <c r="E9" s="20">
        <v>2</v>
      </c>
      <c r="F9" s="3" t="s">
        <v>27</v>
      </c>
      <c r="G9" s="26">
        <f t="shared" si="0"/>
        <v>36</v>
      </c>
      <c r="H9" s="20">
        <v>2</v>
      </c>
      <c r="I9" s="3" t="s">
        <v>20</v>
      </c>
      <c r="J9" s="3"/>
      <c r="K9" s="3" t="s">
        <v>41</v>
      </c>
      <c r="L9" s="3"/>
      <c r="M9" s="26"/>
    </row>
    <row r="10" s="29" customFormat="1" ht="27.5" customHeight="1" outlineLevel="1" spans="1:13">
      <c r="A10" s="3" t="s">
        <v>38</v>
      </c>
      <c r="B10" s="23" t="s">
        <v>28</v>
      </c>
      <c r="C10" s="26"/>
      <c r="D10" s="25" t="s">
        <v>48</v>
      </c>
      <c r="E10" s="20">
        <v>4</v>
      </c>
      <c r="F10" s="3" t="s">
        <v>27</v>
      </c>
      <c r="G10" s="26">
        <f t="shared" si="0"/>
        <v>36</v>
      </c>
      <c r="H10" s="20">
        <v>2</v>
      </c>
      <c r="I10" s="3" t="s">
        <v>20</v>
      </c>
      <c r="J10" s="3"/>
      <c r="K10" s="3" t="s">
        <v>41</v>
      </c>
      <c r="L10" s="3"/>
      <c r="M10" s="26"/>
    </row>
    <row r="11" s="29" customFormat="1" ht="27.5" customHeight="1" outlineLevel="2" spans="1:13">
      <c r="A11" s="3" t="s">
        <v>38</v>
      </c>
      <c r="B11" s="23" t="s">
        <v>49</v>
      </c>
      <c r="C11" s="26"/>
      <c r="D11" s="25" t="s">
        <v>48</v>
      </c>
      <c r="E11" s="20">
        <v>4</v>
      </c>
      <c r="F11" s="3" t="s">
        <v>50</v>
      </c>
      <c r="G11" s="26">
        <v>72</v>
      </c>
      <c r="H11" s="20">
        <v>4</v>
      </c>
      <c r="I11" s="3" t="s">
        <v>16</v>
      </c>
      <c r="J11" s="3"/>
      <c r="K11" s="3" t="s">
        <v>41</v>
      </c>
      <c r="L11" s="3"/>
      <c r="M11" s="26"/>
    </row>
    <row r="12" s="29" customFormat="1" ht="27.5" customHeight="1" outlineLevel="2" spans="1:13">
      <c r="A12" s="3" t="s">
        <v>38</v>
      </c>
      <c r="B12" s="23" t="s">
        <v>51</v>
      </c>
      <c r="C12" s="26"/>
      <c r="D12" s="25" t="s">
        <v>48</v>
      </c>
      <c r="E12" s="20">
        <v>2</v>
      </c>
      <c r="F12" s="3" t="s">
        <v>50</v>
      </c>
      <c r="G12" s="26">
        <v>36</v>
      </c>
      <c r="H12" s="20">
        <v>2</v>
      </c>
      <c r="I12" s="3" t="s">
        <v>20</v>
      </c>
      <c r="J12" s="3"/>
      <c r="K12" s="3" t="s">
        <v>41</v>
      </c>
      <c r="L12" s="3"/>
      <c r="M12" s="26"/>
    </row>
    <row r="13" s="29" customFormat="1" ht="27.5" customHeight="1" outlineLevel="2" spans="1:13">
      <c r="A13" s="18" t="s">
        <v>33</v>
      </c>
      <c r="B13" s="3"/>
      <c r="C13" s="3"/>
      <c r="D13" s="3"/>
      <c r="E13" s="19">
        <v>30</v>
      </c>
      <c r="F13" s="3"/>
      <c r="G13" s="3"/>
      <c r="H13" s="20"/>
      <c r="I13" s="3"/>
      <c r="J13" s="3"/>
      <c r="K13" s="3"/>
      <c r="L13" s="3"/>
      <c r="M13" s="31"/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:L1"/>
    </sheetView>
  </sheetViews>
  <sheetFormatPr defaultColWidth="9" defaultRowHeight="13.5"/>
  <cols>
    <col min="1" max="1" width="33.6637168141593" customWidth="1"/>
    <col min="2" max="2" width="20.3362831858407" customWidth="1"/>
    <col min="4" max="4" width="14.8849557522124" customWidth="1"/>
    <col min="6" max="6" width="14.5575221238938" customWidth="1"/>
  </cols>
  <sheetData>
    <row r="1" ht="26.6" spans="1:1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46</v>
      </c>
      <c r="L2" s="3"/>
    </row>
    <row r="3" spans="1:12">
      <c r="A3" s="3" t="s">
        <v>38</v>
      </c>
      <c r="B3" s="23" t="s">
        <v>53</v>
      </c>
      <c r="C3" s="24"/>
      <c r="D3" s="25" t="s">
        <v>54</v>
      </c>
      <c r="E3" s="20">
        <v>2</v>
      </c>
      <c r="F3" s="26" t="s">
        <v>15</v>
      </c>
      <c r="G3" s="3">
        <v>36</v>
      </c>
      <c r="H3" s="20">
        <v>2</v>
      </c>
      <c r="I3" s="3" t="s">
        <v>16</v>
      </c>
      <c r="J3" s="3"/>
      <c r="K3" s="3" t="s">
        <v>41</v>
      </c>
      <c r="L3" s="3"/>
    </row>
    <row r="4" spans="1:12">
      <c r="A4" s="3" t="s">
        <v>38</v>
      </c>
      <c r="B4" s="23" t="s">
        <v>18</v>
      </c>
      <c r="C4" s="3"/>
      <c r="D4" s="25" t="s">
        <v>54</v>
      </c>
      <c r="E4" s="20">
        <v>2</v>
      </c>
      <c r="F4" s="26" t="s">
        <v>19</v>
      </c>
      <c r="G4" s="3">
        <v>36</v>
      </c>
      <c r="H4" s="20">
        <v>2</v>
      </c>
      <c r="I4" s="3" t="s">
        <v>20</v>
      </c>
      <c r="J4" s="3"/>
      <c r="K4" s="3" t="s">
        <v>41</v>
      </c>
      <c r="L4" s="3"/>
    </row>
    <row r="5" spans="1:12">
      <c r="A5" s="3" t="s">
        <v>38</v>
      </c>
      <c r="B5" s="23" t="s">
        <v>21</v>
      </c>
      <c r="C5" s="3"/>
      <c r="D5" s="25" t="s">
        <v>54</v>
      </c>
      <c r="E5" s="20">
        <v>4</v>
      </c>
      <c r="F5" s="3" t="s">
        <v>19</v>
      </c>
      <c r="G5" s="26">
        <v>72</v>
      </c>
      <c r="H5" s="20">
        <v>4</v>
      </c>
      <c r="I5" s="3" t="s">
        <v>16</v>
      </c>
      <c r="J5" s="3"/>
      <c r="K5" s="3" t="s">
        <v>41</v>
      </c>
      <c r="L5" s="3"/>
    </row>
    <row r="6" spans="1:12">
      <c r="A6" s="3" t="s">
        <v>38</v>
      </c>
      <c r="B6" s="23" t="s">
        <v>22</v>
      </c>
      <c r="C6" s="3"/>
      <c r="D6" s="25" t="s">
        <v>54</v>
      </c>
      <c r="E6" s="20">
        <v>4</v>
      </c>
      <c r="F6" s="3" t="s">
        <v>19</v>
      </c>
      <c r="G6" s="26">
        <v>72</v>
      </c>
      <c r="H6" s="20">
        <v>4</v>
      </c>
      <c r="I6" s="3" t="s">
        <v>16</v>
      </c>
      <c r="J6" s="3"/>
      <c r="K6" s="3" t="s">
        <v>41</v>
      </c>
      <c r="L6" s="3"/>
    </row>
    <row r="7" spans="1:12">
      <c r="A7" s="3" t="s">
        <v>38</v>
      </c>
      <c r="B7" s="23" t="s">
        <v>23</v>
      </c>
      <c r="C7" s="27"/>
      <c r="D7" s="25" t="s">
        <v>54</v>
      </c>
      <c r="E7" s="20">
        <v>2</v>
      </c>
      <c r="F7" s="26" t="s">
        <v>27</v>
      </c>
      <c r="G7" s="3">
        <v>36</v>
      </c>
      <c r="H7" s="20">
        <v>2</v>
      </c>
      <c r="I7" s="3" t="s">
        <v>20</v>
      </c>
      <c r="J7" s="3"/>
      <c r="K7" s="3" t="s">
        <v>41</v>
      </c>
      <c r="L7" s="3"/>
    </row>
    <row r="8" spans="1:12">
      <c r="A8" s="3" t="s">
        <v>38</v>
      </c>
      <c r="B8" s="23" t="s">
        <v>25</v>
      </c>
      <c r="C8" s="26"/>
      <c r="D8" s="25" t="s">
        <v>54</v>
      </c>
      <c r="E8" s="20">
        <v>2</v>
      </c>
      <c r="F8" s="3" t="s">
        <v>27</v>
      </c>
      <c r="G8" s="26">
        <v>36</v>
      </c>
      <c r="H8" s="20">
        <v>2</v>
      </c>
      <c r="I8" s="3" t="s">
        <v>20</v>
      </c>
      <c r="J8" s="3"/>
      <c r="K8" s="3" t="s">
        <v>41</v>
      </c>
      <c r="L8" s="3"/>
    </row>
    <row r="9" spans="1:12">
      <c r="A9" s="3" t="s">
        <v>38</v>
      </c>
      <c r="B9" s="23" t="s">
        <v>26</v>
      </c>
      <c r="C9" s="26"/>
      <c r="D9" s="25" t="s">
        <v>54</v>
      </c>
      <c r="E9" s="20">
        <v>4</v>
      </c>
      <c r="F9" s="3" t="s">
        <v>27</v>
      </c>
      <c r="G9" s="26">
        <v>72</v>
      </c>
      <c r="H9" s="20">
        <v>4</v>
      </c>
      <c r="I9" s="3" t="s">
        <v>20</v>
      </c>
      <c r="J9" s="3"/>
      <c r="K9" s="3" t="s">
        <v>41</v>
      </c>
      <c r="L9" s="3"/>
    </row>
    <row r="10" spans="1:12">
      <c r="A10" s="3" t="s">
        <v>38</v>
      </c>
      <c r="B10" s="23" t="s">
        <v>28</v>
      </c>
      <c r="C10" s="26"/>
      <c r="D10" s="25" t="s">
        <v>54</v>
      </c>
      <c r="E10" s="20">
        <v>2</v>
      </c>
      <c r="F10" s="3" t="s">
        <v>27</v>
      </c>
      <c r="G10" s="26">
        <v>36</v>
      </c>
      <c r="H10" s="20">
        <v>2</v>
      </c>
      <c r="I10" s="3" t="s">
        <v>20</v>
      </c>
      <c r="J10" s="3"/>
      <c r="K10" s="3" t="s">
        <v>41</v>
      </c>
      <c r="L10" s="3"/>
    </row>
    <row r="11" spans="1:12">
      <c r="A11" s="3" t="s">
        <v>38</v>
      </c>
      <c r="B11" s="23" t="s">
        <v>55</v>
      </c>
      <c r="C11" s="26"/>
      <c r="D11" s="25" t="s">
        <v>54</v>
      </c>
      <c r="E11" s="20">
        <v>4</v>
      </c>
      <c r="F11" s="3" t="s">
        <v>50</v>
      </c>
      <c r="G11" s="26">
        <v>72</v>
      </c>
      <c r="H11" s="20">
        <v>4</v>
      </c>
      <c r="I11" s="3" t="s">
        <v>16</v>
      </c>
      <c r="J11" s="3"/>
      <c r="K11" s="3" t="s">
        <v>41</v>
      </c>
      <c r="L11" s="3"/>
    </row>
    <row r="12" spans="1:12">
      <c r="A12" s="3" t="s">
        <v>38</v>
      </c>
      <c r="B12" s="23" t="s">
        <v>56</v>
      </c>
      <c r="C12" s="26"/>
      <c r="D12" s="25" t="s">
        <v>54</v>
      </c>
      <c r="E12" s="20">
        <v>4</v>
      </c>
      <c r="F12" s="26" t="s">
        <v>19</v>
      </c>
      <c r="G12" s="26">
        <v>72</v>
      </c>
      <c r="H12" s="20">
        <v>4</v>
      </c>
      <c r="I12" s="3" t="s">
        <v>20</v>
      </c>
      <c r="J12" s="3"/>
      <c r="K12" s="3" t="s">
        <v>41</v>
      </c>
      <c r="L12" s="3"/>
    </row>
    <row r="13" spans="1:12">
      <c r="A13" s="18" t="s">
        <v>33</v>
      </c>
      <c r="B13" s="3"/>
      <c r="C13" s="3"/>
      <c r="D13" s="3"/>
      <c r="E13" s="19">
        <f>SUM(E3:E12)</f>
        <v>30</v>
      </c>
      <c r="F13" s="3"/>
      <c r="G13" s="3"/>
      <c r="H13" s="20"/>
      <c r="I13" s="3"/>
      <c r="J13" s="3"/>
      <c r="K13" s="3"/>
      <c r="L13" s="3"/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3"/>
  <sheetViews>
    <sheetView workbookViewId="0">
      <selection activeCell="B19" sqref="B19"/>
    </sheetView>
  </sheetViews>
  <sheetFormatPr defaultColWidth="9.02654867256637" defaultRowHeight="13.5"/>
  <cols>
    <col min="1" max="1" width="32.2654867256637" customWidth="1"/>
    <col min="2" max="2" width="21.4513274336283" customWidth="1"/>
    <col min="6" max="6" width="14.4159292035398" customWidth="1"/>
  </cols>
  <sheetData>
    <row r="3" s="21" customFormat="1" spans="1:12">
      <c r="A3"/>
      <c r="B3"/>
      <c r="C3"/>
      <c r="D3"/>
      <c r="E3"/>
      <c r="F3"/>
      <c r="G3"/>
      <c r="H3"/>
      <c r="I3"/>
      <c r="J3"/>
      <c r="K3"/>
      <c r="L3"/>
    </row>
    <row r="4" s="22" customFormat="1" spans="1:12">
      <c r="A4"/>
      <c r="B4"/>
      <c r="C4"/>
      <c r="D4"/>
      <c r="E4"/>
      <c r="F4"/>
      <c r="G4"/>
      <c r="H4"/>
      <c r="I4"/>
      <c r="J4"/>
      <c r="K4"/>
      <c r="L4"/>
    </row>
    <row r="5" s="21" customFormat="1" spans="1:12">
      <c r="A5"/>
      <c r="B5"/>
      <c r="C5"/>
      <c r="D5"/>
      <c r="E5"/>
      <c r="F5"/>
      <c r="G5"/>
      <c r="H5"/>
      <c r="I5"/>
      <c r="J5"/>
      <c r="K5"/>
      <c r="L5"/>
    </row>
    <row r="6" s="22" customFormat="1" spans="1:12">
      <c r="A6"/>
      <c r="B6"/>
      <c r="C6"/>
      <c r="D6"/>
      <c r="E6"/>
      <c r="F6"/>
      <c r="G6"/>
      <c r="H6"/>
      <c r="I6"/>
      <c r="J6"/>
      <c r="K6"/>
      <c r="L6"/>
    </row>
    <row r="7" s="22" customFormat="1" spans="1:12">
      <c r="A7"/>
      <c r="B7"/>
      <c r="C7"/>
      <c r="D7"/>
      <c r="E7"/>
      <c r="F7"/>
      <c r="G7"/>
      <c r="H7"/>
      <c r="I7"/>
      <c r="J7"/>
      <c r="K7"/>
      <c r="L7"/>
    </row>
    <row r="8" s="22" customFormat="1" spans="1:12">
      <c r="A8"/>
      <c r="B8"/>
      <c r="C8"/>
      <c r="D8"/>
      <c r="E8"/>
      <c r="F8"/>
      <c r="G8"/>
      <c r="H8"/>
      <c r="I8"/>
      <c r="J8"/>
      <c r="K8"/>
      <c r="L8"/>
    </row>
    <row r="9" s="22" customFormat="1" spans="1:12">
      <c r="A9"/>
      <c r="B9"/>
      <c r="C9"/>
      <c r="D9"/>
      <c r="E9"/>
      <c r="F9"/>
      <c r="G9"/>
      <c r="H9"/>
      <c r="I9"/>
      <c r="J9"/>
      <c r="K9"/>
      <c r="L9"/>
    </row>
    <row r="10" s="22" customFormat="1" spans="1:12">
      <c r="A10"/>
      <c r="B10"/>
      <c r="C10"/>
      <c r="D10"/>
      <c r="E10"/>
      <c r="F10"/>
      <c r="G10"/>
      <c r="H10"/>
      <c r="I10"/>
      <c r="J10"/>
      <c r="K10"/>
      <c r="L10"/>
    </row>
    <row r="11" s="22" customFormat="1" spans="1:12">
      <c r="A11"/>
      <c r="B11"/>
      <c r="C11"/>
      <c r="D11"/>
      <c r="E11"/>
      <c r="F11"/>
      <c r="G11"/>
      <c r="H11"/>
      <c r="I11"/>
      <c r="J11"/>
      <c r="K11"/>
      <c r="L11"/>
    </row>
    <row r="12" s="22" customFormat="1" spans="1:12">
      <c r="A12"/>
      <c r="B12"/>
      <c r="C12"/>
      <c r="D12"/>
      <c r="E12"/>
      <c r="F12"/>
      <c r="G12"/>
      <c r="H12"/>
      <c r="I12"/>
      <c r="J12"/>
      <c r="K12"/>
      <c r="L12"/>
    </row>
    <row r="13" s="22" customFormat="1" spans="1:12">
      <c r="A13"/>
      <c r="B13"/>
      <c r="C13"/>
      <c r="D13"/>
      <c r="E13"/>
      <c r="F13"/>
      <c r="G13"/>
      <c r="H13"/>
      <c r="I13"/>
      <c r="J13"/>
      <c r="K13"/>
      <c r="L1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A1" sqref="A1:L14"/>
    </sheetView>
  </sheetViews>
  <sheetFormatPr defaultColWidth="9.02654867256637" defaultRowHeight="13.5"/>
  <cols>
    <col min="1" max="1" width="26.4247787610619" customWidth="1"/>
    <col min="2" max="2" width="32.7345132743363" customWidth="1"/>
    <col min="6" max="6" width="13.7433628318584" customWidth="1"/>
  </cols>
  <sheetData>
    <row r="1" ht="26.6" spans="1:12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46</v>
      </c>
      <c r="L2" s="3"/>
    </row>
    <row r="3" spans="1:12">
      <c r="A3" s="4" t="s">
        <v>38</v>
      </c>
      <c r="B3" s="5" t="s">
        <v>18</v>
      </c>
      <c r="C3" s="4"/>
      <c r="D3" s="6" t="s">
        <v>58</v>
      </c>
      <c r="E3" s="7">
        <v>2</v>
      </c>
      <c r="F3" s="8" t="s">
        <v>19</v>
      </c>
      <c r="G3" s="4">
        <v>36</v>
      </c>
      <c r="H3" s="7">
        <v>2</v>
      </c>
      <c r="I3" s="4" t="s">
        <v>20</v>
      </c>
      <c r="J3" s="4"/>
      <c r="K3" s="9" t="s">
        <v>41</v>
      </c>
      <c r="L3" s="10"/>
    </row>
    <row r="4" spans="1:12">
      <c r="A4" s="4" t="s">
        <v>38</v>
      </c>
      <c r="B4" s="11" t="s">
        <v>59</v>
      </c>
      <c r="C4" s="12"/>
      <c r="D4" s="6" t="s">
        <v>58</v>
      </c>
      <c r="E4" s="13">
        <v>2</v>
      </c>
      <c r="F4" s="8" t="s">
        <v>19</v>
      </c>
      <c r="G4" s="4">
        <v>37</v>
      </c>
      <c r="H4" s="7">
        <v>3</v>
      </c>
      <c r="I4" s="4" t="s">
        <v>20</v>
      </c>
      <c r="J4" s="12"/>
      <c r="K4" s="9" t="s">
        <v>41</v>
      </c>
      <c r="L4" s="10"/>
    </row>
    <row r="5" ht="26.25" spans="1:12">
      <c r="A5" s="4" t="s">
        <v>38</v>
      </c>
      <c r="B5" s="5" t="s">
        <v>60</v>
      </c>
      <c r="C5" s="8"/>
      <c r="D5" s="6" t="s">
        <v>58</v>
      </c>
      <c r="E5" s="7">
        <v>4</v>
      </c>
      <c r="F5" s="4" t="s">
        <v>50</v>
      </c>
      <c r="G5" s="8">
        <v>72</v>
      </c>
      <c r="H5" s="7">
        <v>4</v>
      </c>
      <c r="I5" s="4" t="s">
        <v>16</v>
      </c>
      <c r="J5" s="4"/>
      <c r="K5" s="9" t="s">
        <v>41</v>
      </c>
      <c r="L5" s="10"/>
    </row>
    <row r="6" ht="26.25" spans="1:12">
      <c r="A6" s="4" t="s">
        <v>38</v>
      </c>
      <c r="B6" s="11" t="s">
        <v>61</v>
      </c>
      <c r="C6" s="12"/>
      <c r="D6" s="6" t="s">
        <v>58</v>
      </c>
      <c r="E6" s="13">
        <v>2</v>
      </c>
      <c r="F6" s="4" t="s">
        <v>50</v>
      </c>
      <c r="G6" s="14">
        <v>36</v>
      </c>
      <c r="H6" s="13">
        <v>2</v>
      </c>
      <c r="I6" s="12" t="s">
        <v>20</v>
      </c>
      <c r="J6" s="12"/>
      <c r="K6" s="9" t="s">
        <v>41</v>
      </c>
      <c r="L6" s="10"/>
    </row>
    <row r="7" ht="26.25" spans="1:12">
      <c r="A7" s="4" t="s">
        <v>38</v>
      </c>
      <c r="B7" s="11" t="s">
        <v>62</v>
      </c>
      <c r="C7" s="12"/>
      <c r="D7" s="6" t="s">
        <v>58</v>
      </c>
      <c r="E7" s="13">
        <v>4</v>
      </c>
      <c r="F7" s="12" t="s">
        <v>27</v>
      </c>
      <c r="G7" s="14">
        <v>72</v>
      </c>
      <c r="H7" s="13">
        <v>4</v>
      </c>
      <c r="I7" s="12" t="s">
        <v>16</v>
      </c>
      <c r="J7" s="12"/>
      <c r="K7" s="9" t="s">
        <v>41</v>
      </c>
      <c r="L7" s="10"/>
    </row>
    <row r="8" spans="1:12">
      <c r="A8" s="12" t="s">
        <v>38</v>
      </c>
      <c r="B8" s="11" t="s">
        <v>23</v>
      </c>
      <c r="C8" s="15"/>
      <c r="D8" s="6" t="s">
        <v>58</v>
      </c>
      <c r="E8" s="13">
        <v>2</v>
      </c>
      <c r="F8" s="14" t="s">
        <v>27</v>
      </c>
      <c r="G8" s="12">
        <v>36</v>
      </c>
      <c r="H8" s="13">
        <v>2</v>
      </c>
      <c r="I8" s="12" t="s">
        <v>20</v>
      </c>
      <c r="J8" s="12"/>
      <c r="K8" s="16" t="s">
        <v>41</v>
      </c>
      <c r="L8" s="17"/>
    </row>
    <row r="9" spans="1:12">
      <c r="A9" s="12" t="s">
        <v>38</v>
      </c>
      <c r="B9" s="11" t="s">
        <v>25</v>
      </c>
      <c r="C9" s="14"/>
      <c r="D9" s="6" t="s">
        <v>58</v>
      </c>
      <c r="E9" s="13">
        <v>2</v>
      </c>
      <c r="F9" s="12" t="s">
        <v>27</v>
      </c>
      <c r="G9" s="14">
        <v>36</v>
      </c>
      <c r="H9" s="13">
        <v>2</v>
      </c>
      <c r="I9" s="12" t="s">
        <v>20</v>
      </c>
      <c r="J9" s="12"/>
      <c r="K9" s="16" t="s">
        <v>41</v>
      </c>
      <c r="L9" s="17"/>
    </row>
    <row r="10" ht="26.25" spans="1:12">
      <c r="A10" s="12" t="s">
        <v>38</v>
      </c>
      <c r="B10" s="11" t="s">
        <v>26</v>
      </c>
      <c r="C10" s="14"/>
      <c r="D10" s="6" t="s">
        <v>58</v>
      </c>
      <c r="E10" s="13">
        <v>4</v>
      </c>
      <c r="F10" s="12" t="s">
        <v>27</v>
      </c>
      <c r="G10" s="14">
        <v>72</v>
      </c>
      <c r="H10" s="13">
        <v>4</v>
      </c>
      <c r="I10" s="12" t="s">
        <v>20</v>
      </c>
      <c r="J10" s="12"/>
      <c r="K10" s="16" t="s">
        <v>41</v>
      </c>
      <c r="L10" s="17"/>
    </row>
    <row r="11" spans="1:12">
      <c r="A11" s="12" t="s">
        <v>38</v>
      </c>
      <c r="B11" s="11" t="s">
        <v>63</v>
      </c>
      <c r="C11" s="14"/>
      <c r="D11" s="6" t="s">
        <v>58</v>
      </c>
      <c r="E11" s="13">
        <v>2</v>
      </c>
      <c r="F11" s="12" t="s">
        <v>27</v>
      </c>
      <c r="G11" s="14">
        <v>36</v>
      </c>
      <c r="H11" s="13">
        <v>2</v>
      </c>
      <c r="I11" s="12" t="s">
        <v>20</v>
      </c>
      <c r="J11" s="12"/>
      <c r="K11" s="16" t="s">
        <v>41</v>
      </c>
      <c r="L11" s="17"/>
    </row>
    <row r="12" ht="26.25" spans="1:12">
      <c r="A12" s="12" t="s">
        <v>38</v>
      </c>
      <c r="B12" s="11" t="s">
        <v>28</v>
      </c>
      <c r="C12" s="14"/>
      <c r="D12" s="6" t="s">
        <v>58</v>
      </c>
      <c r="E12" s="13">
        <v>2</v>
      </c>
      <c r="F12" s="12" t="s">
        <v>27</v>
      </c>
      <c r="G12" s="14">
        <v>36</v>
      </c>
      <c r="H12" s="13">
        <v>2</v>
      </c>
      <c r="I12" s="12" t="s">
        <v>20</v>
      </c>
      <c r="J12" s="12"/>
      <c r="K12" s="16" t="s">
        <v>41</v>
      </c>
      <c r="L12" s="17"/>
    </row>
    <row r="13" ht="26.25" spans="1:12">
      <c r="A13" s="12" t="s">
        <v>38</v>
      </c>
      <c r="B13" s="11" t="s">
        <v>64</v>
      </c>
      <c r="C13" s="14"/>
      <c r="D13" s="6" t="s">
        <v>58</v>
      </c>
      <c r="E13" s="13">
        <v>2</v>
      </c>
      <c r="F13" s="14" t="s">
        <v>19</v>
      </c>
      <c r="G13" s="14">
        <v>36</v>
      </c>
      <c r="H13" s="13">
        <v>2</v>
      </c>
      <c r="I13" s="12" t="s">
        <v>20</v>
      </c>
      <c r="J13" s="12"/>
      <c r="K13" s="16" t="s">
        <v>41</v>
      </c>
      <c r="L13" s="17"/>
    </row>
    <row r="14" spans="1:12">
      <c r="A14" s="18" t="s">
        <v>33</v>
      </c>
      <c r="B14" s="3"/>
      <c r="C14" s="3"/>
      <c r="D14" s="3"/>
      <c r="E14" s="19">
        <f>SUM(E3:E13)</f>
        <v>28</v>
      </c>
      <c r="F14" s="3"/>
      <c r="G14" s="3"/>
      <c r="H14" s="20"/>
      <c r="I14" s="3"/>
      <c r="J14" s="3"/>
      <c r="K14" s="3"/>
      <c r="L14" s="3"/>
    </row>
  </sheetData>
  <mergeCells count="12">
    <mergeCell ref="A1:L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第一学期</vt:lpstr>
      <vt:lpstr>第二学期 </vt:lpstr>
      <vt:lpstr>第三学期</vt:lpstr>
      <vt:lpstr>第四学期</vt:lpstr>
      <vt:lpstr>第五学期</vt:lpstr>
      <vt:lpstr>第六学期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罗吉良</cp:lastModifiedBy>
  <dcterms:created xsi:type="dcterms:W3CDTF">2023-06-19T09:49:00Z</dcterms:created>
  <dcterms:modified xsi:type="dcterms:W3CDTF">2025-12-22T03:51:55Z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B3D411469E7E45788806AAD79FE02377_13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